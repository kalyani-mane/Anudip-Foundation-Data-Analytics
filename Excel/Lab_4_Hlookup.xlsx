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0f4b51fff4dd32/Desktop/DA/Excel/"/>
    </mc:Choice>
  </mc:AlternateContent>
  <xr:revisionPtr revIDLastSave="0" documentId="8_{AC262777-0E7F-48F4-8149-AFCB9E5DD832}" xr6:coauthVersionLast="47" xr6:coauthVersionMax="47" xr10:uidLastSave="{00000000-0000-0000-0000-000000000000}"/>
  <bookViews>
    <workbookView xWindow="-15" yWindow="-15" windowWidth="20520" windowHeight="10830" activeTab="8" xr2:uid="{BEF5F1A0-11C3-4971-BE79-DC0F7143C926}"/>
  </bookViews>
  <sheets>
    <sheet name="Data" sheetId="1" r:id="rId1"/>
    <sheet name="Questions" sheetId="2" r:id="rId2"/>
    <sheet name="Q1" sheetId="3" r:id="rId3"/>
    <sheet name="Q2" sheetId="4" r:id="rId4"/>
    <sheet name="Q3" sheetId="5" r:id="rId5"/>
    <sheet name="Q4" sheetId="9" r:id="rId6"/>
    <sheet name="Q5" sheetId="7" r:id="rId7"/>
    <sheet name="Q6" sheetId="8" r:id="rId8"/>
    <sheet name="Q7" sheetId="6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4" i="9" l="1"/>
  <c r="J25" i="9"/>
  <c r="J26" i="9"/>
  <c r="J27" i="9"/>
  <c r="J23" i="9"/>
  <c r="G24" i="9"/>
  <c r="G25" i="9"/>
  <c r="G26" i="9"/>
  <c r="G27" i="9"/>
  <c r="G23" i="9"/>
  <c r="D24" i="9"/>
  <c r="D25" i="9"/>
  <c r="D26" i="9"/>
  <c r="D27" i="9"/>
  <c r="D23" i="9"/>
  <c r="J15" i="9"/>
  <c r="J16" i="9"/>
  <c r="J17" i="9"/>
  <c r="J18" i="9"/>
  <c r="J14" i="9"/>
  <c r="G15" i="9"/>
  <c r="G16" i="9"/>
  <c r="G17" i="9"/>
  <c r="G18" i="9"/>
  <c r="G14" i="9"/>
  <c r="D15" i="9"/>
  <c r="D16" i="9"/>
  <c r="D17" i="9"/>
  <c r="D18" i="9"/>
  <c r="D14" i="9"/>
  <c r="F13" i="4"/>
  <c r="F13" i="6"/>
  <c r="D13" i="3"/>
  <c r="F13" i="8"/>
  <c r="G13" i="7"/>
  <c r="E13" i="5"/>
</calcChain>
</file>

<file path=xl/sharedStrings.xml><?xml version="1.0" encoding="utf-8"?>
<sst xmlns="http://schemas.openxmlformats.org/spreadsheetml/2006/main" count="176" uniqueCount="34">
  <si>
    <t>Product</t>
  </si>
  <si>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</si>
  <si>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</si>
  <si>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</si>
  <si>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</si>
  <si>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</si>
  <si>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</si>
  <si>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</si>
  <si>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</si>
  <si>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</si>
  <si>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</si>
  <si>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</si>
  <si>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Q.1  Use HLOOKUP to find the sales for Product A in March</t>
  </si>
  <si>
    <t xml:space="preserve">Product </t>
  </si>
  <si>
    <t>Sales</t>
  </si>
  <si>
    <t>Q2.  Use HLOOKUP to find the sales for Product D in May</t>
  </si>
  <si>
    <t>Q3. Use HLOOKUP to find the sales for Product C in February.</t>
  </si>
  <si>
    <t>Sales in March</t>
  </si>
  <si>
    <t>Sales in feb</t>
  </si>
  <si>
    <t>Sales in May</t>
  </si>
  <si>
    <t xml:space="preserve">Q4. Use HLOOKUP to find the sales for each month for a product, then calculate the 
total sales for that product </t>
  </si>
  <si>
    <t>Q5.  Use HLOOKUP to find the maximum sales value for Product B across all months.</t>
  </si>
  <si>
    <t>Max Sales</t>
  </si>
  <si>
    <t>Q6. Use HLOOKUP to find the minimum sales value for Product F across all months.</t>
  </si>
  <si>
    <t>Month</t>
  </si>
  <si>
    <t>. Use HLOOKUP to find the average sales value for Product E across all months</t>
  </si>
  <si>
    <t>Avg Sales</t>
  </si>
  <si>
    <t>1. Use HLOOKUP to find the sales for Product A in March</t>
  </si>
  <si>
    <t>2. Use HLOOKUP to find the sales for Product D in May.</t>
  </si>
  <si>
    <t>3. Use HLOOKUP to find the sales for Product C in February</t>
  </si>
  <si>
    <t>4. Use HLOOKUP to find the sales for each month for a product, then calculate the 
total sales for that product.</t>
  </si>
  <si>
    <t>5. Use HLOOKUP to find the maximum sales value for Product B across all months.</t>
  </si>
  <si>
    <t>6. Use HLOOKUP to find the minimum sales value for Product F across all months.</t>
  </si>
  <si>
    <t>7. Use HLOOKUP to find the average sales value for Product E across all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</si>
</sst>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2" borderId="0" xfId="0" applyFill="1" applyAlignment="1">
      <alignment horizontal="center"/>
    </xf>
  </cellXfs>
  <cellStyles count="1">
    <cellStyle name="Normal" xfId="0" builtinId="0"/>
  </cellStyles>
  <dxfs count="6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A6931C-D320-452B-8F76-C8D7FEFD5213}" name="Table1" displayName="Table1" ref="C3:H9" totalsRowShown="0" headerRowDxfId="63" dataDxfId="62">
  <autoFilter ref="C3:H9" xr:uid="{BFA6931C-D320-452B-8F76-C8D7FEFD5213}"/>
  <tableColumns count="6">
    <tableColumn id="1" xr3:uid="{DDC69C37-552B-47F3-81BB-A5BDB2E0D666}" name="Product" dataDxfId="61"/>
    <tableColumn id="2" xr3:uid="{B23CF4A2-1F44-497C-A75E-B561A1E8A155}" name="Jan" dataDxfId="60"/>
    <tableColumn id="3" xr3:uid="{CA8218AD-1AEE-4289-97D3-AE37A2ED6948}" name="Feb" dataDxfId="59"/>
    <tableColumn id="4" xr3:uid="{9D602205-589B-4712-89EE-E80754F04ADF}" name="Mar" dataDxfId="58"/>
    <tableColumn id="5" xr3:uid="{B95EFDA5-30F7-4065-BD79-335E419AE49E}" name="Apr" dataDxfId="57"/>
    <tableColumn id="6" xr3:uid="{570117D4-67FD-4D9D-B8EC-EEE01E4208BC}" name="May" dataDxfId="5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A44540-E47A-4A4A-84FE-10929C0777E0}" name="Table13" displayName="Table13" ref="B3:G9" totalsRowShown="0" headerRowDxfId="55" dataDxfId="54">
  <autoFilter ref="B3:G9" xr:uid="{9FA44540-E47A-4A4A-84FE-10929C0777E0}"/>
  <tableColumns count="6">
    <tableColumn id="1" xr3:uid="{B936DFF0-844E-4EC2-9B5C-95D445124A6D}" name="Product" dataDxfId="53"/>
    <tableColumn id="2" xr3:uid="{C31A111C-8D11-465C-85D8-CFF784564FB2}" name="Jan" dataDxfId="52"/>
    <tableColumn id="3" xr3:uid="{50C2695C-9C36-46A3-A50C-87FAFAD105AF}" name="Feb" dataDxfId="51"/>
    <tableColumn id="4" xr3:uid="{6CE23D03-6A50-4DD3-A2C4-B4C60E537F33}" name="Mar" dataDxfId="50"/>
    <tableColumn id="5" xr3:uid="{ABCBAC4A-A53B-4FA8-A728-36119528B669}" name="Apr" dataDxfId="49"/>
    <tableColumn id="6" xr3:uid="{228E8398-F8B7-4F0B-9A20-B7298604FD28}" name="May" dataDxfId="4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3F490FD-C229-4639-A881-94068E8ED414}" name="Table25" displayName="Table25" ref="C12:D13" totalsRowShown="0">
  <autoFilter ref="C12:D13" xr:uid="{E3F490FD-C229-4639-A881-94068E8ED414}"/>
  <tableColumns count="2">
    <tableColumn id="1" xr3:uid="{3458DCB4-8128-4824-8F6D-A129273358E1}" name="Product "/>
    <tableColumn id="2" xr3:uid="{549C09D1-AAD3-4A2C-ACD2-FBC4A9B2D80F}" name="Sales in March">
      <calculatedColumnFormula>HLOOKUP(E3,B3:G9,2,0)</calculatedColumnFormula>
    </tableColumn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06E91D-AEF6-444F-9AD4-D8EB18C6D3A4}" name="Table14" displayName="Table14" ref="B3:G9" totalsRowShown="0" headerRowDxfId="47" dataDxfId="46">
  <autoFilter ref="B3:G9" xr:uid="{0E06E91D-AEF6-444F-9AD4-D8EB18C6D3A4}"/>
  <tableColumns count="6">
    <tableColumn id="1" xr3:uid="{72F67DCB-F646-4D66-AF2F-6CBEFFBA2DB8}" name="Product" dataDxfId="45"/>
    <tableColumn id="2" xr3:uid="{583E9267-8253-4246-860B-25D0FB658761}" name="Jan" dataDxfId="44"/>
    <tableColumn id="3" xr3:uid="{0F9A4688-A180-4DE1-BCB3-8A98F119C9FA}" name="Feb" dataDxfId="43"/>
    <tableColumn id="4" xr3:uid="{B5BB1EEE-E4C9-480D-9138-5E1EBF1AB7E6}" name="Mar" dataDxfId="42"/>
    <tableColumn id="5" xr3:uid="{83EB4273-5224-44A3-A2A0-1BCD250A82D3}" name="Apr" dataDxfId="41"/>
    <tableColumn id="6" xr3:uid="{6DDB5698-CAD2-44F5-BE86-14FCDF27D4C0}" name="May" dataDxfId="4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94D0CF3-5E91-4116-B4A6-24F4F5E65E2C}" name="Table24" displayName="Table24" ref="E12:F13" totalsRowShown="0">
  <autoFilter ref="E12:F13" xr:uid="{B94D0CF3-5E91-4116-B4A6-24F4F5E65E2C}"/>
  <tableColumns count="2">
    <tableColumn id="1" xr3:uid="{CE18BDC7-47E1-4DEB-998B-32548D75C953}" name="Product"/>
    <tableColumn id="2" xr3:uid="{023DE933-F058-4639-8C4B-219E0AD442C8}" name="Sales in May">
      <calculatedColumnFormula>HLOOKUP(G3,B3:G9,5,0)</calculatedColumnFormula>
    </tableColumn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462CC8-8552-4F59-BBCC-36D799EE3C6A}" name="Table135" displayName="Table135" ref="B3:G9" totalsRowShown="0" headerRowDxfId="39" dataDxfId="38">
  <autoFilter ref="B3:G9" xr:uid="{E4462CC8-8552-4F59-BBCC-36D799EE3C6A}"/>
  <tableColumns count="6">
    <tableColumn id="1" xr3:uid="{977FBB48-573F-456E-A4F7-3FAD2EF628D3}" name="Product" dataDxfId="37"/>
    <tableColumn id="2" xr3:uid="{908450DC-62AB-4503-8964-FB48440E4135}" name="Jan" dataDxfId="36"/>
    <tableColumn id="3" xr3:uid="{02C00A8F-6E4B-4513-8524-1D70B62EC95A}" name="Feb" dataDxfId="35"/>
    <tableColumn id="4" xr3:uid="{393E553D-EEA4-44F7-9FB4-F82F2CC16169}" name="Mar" dataDxfId="34"/>
    <tableColumn id="5" xr3:uid="{7776A9F8-34EE-483D-B99C-7DB67F9B3B56}" name="Apr" dataDxfId="33"/>
    <tableColumn id="6" xr3:uid="{05A71F08-ACED-4B6B-BFB7-68472AF9CEE4}" name="May" dataDxfId="3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06AEDC3-EA0A-4F1C-88DC-B15DBD6565B6}" name="Table23" displayName="Table23" ref="D12:E13" totalsRowShown="0">
  <autoFilter ref="D12:E13" xr:uid="{A06AEDC3-EA0A-4F1C-88DC-B15DBD6565B6}"/>
  <tableColumns count="2">
    <tableColumn id="1" xr3:uid="{25AB0588-3EB8-45EB-BF13-C7C12F47D009}" name="Product"/>
    <tableColumn id="2" xr3:uid="{659AEF2E-1A30-4389-956B-474565294644}" name="Sales in feb">
      <calculatedColumnFormula>HLOOKUP(D3,B3:G9,4,0)</calculatedColumnFormula>
    </tableColumn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C9AF04C-D85A-4209-99B9-CF17FC157021}" name="Table1310" displayName="Table1310" ref="B3:G9" totalsRowShown="0" headerRowDxfId="7" dataDxfId="6">
  <autoFilter ref="B3:G9" xr:uid="{6C9AF04C-D85A-4209-99B9-CF17FC157021}"/>
  <tableColumns count="6">
    <tableColumn id="1" xr3:uid="{5CD4BB3D-8EF2-4216-BA38-C4661B2B9AFB}" name="Product" dataDxfId="5"/>
    <tableColumn id="2" xr3:uid="{A3F2C3DF-9727-4D30-B573-53A9C670D9E8}" name="Jan" dataDxfId="4"/>
    <tableColumn id="3" xr3:uid="{D9BC45EB-C8CF-4E70-A60A-FAB74DF3FDEA}" name="Feb" dataDxfId="3"/>
    <tableColumn id="4" xr3:uid="{EA0C8A03-0352-499A-AB8F-B197DD964F2E}" name="Mar" dataDxfId="2"/>
    <tableColumn id="5" xr3:uid="{8DB40F86-EA57-420C-81EF-12FADC0B4684}" name="Apr" dataDxfId="1"/>
    <tableColumn id="6" xr3:uid="{E1822D83-1101-4B66-B9F6-C17F301884D6}" name="May" dataDxfId="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0096144-4F43-4DEC-B610-4B4EF76AE387}" name="Table11" displayName="Table11" ref="C13:D18" totalsRowShown="0">
  <autoFilter ref="C13:D18" xr:uid="{E0096144-4F43-4DEC-B610-4B4EF76AE387}"/>
  <tableColumns count="2">
    <tableColumn id="1" xr3:uid="{5870A578-F813-4734-BEDB-0B60DE89D585}" name="Month"/>
    <tableColumn id="2" xr3:uid="{FF319589-2850-4641-8302-F1D5A3146D54}" name="Sales">
      <calculatedColumnFormula>HLOOKUP(C14,$B$3:$G$9,2,0)</calculatedColumnFormula>
    </tableColumn>
  </tableColumns>
  <tableStyleInfo name="TableStyleMedium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B31208D-29EB-44CD-8E39-8DC586F1BBC5}" name="Table12" displayName="Table12" ref="F13:G18" totalsRowShown="0">
  <autoFilter ref="F13:G18" xr:uid="{DB31208D-29EB-44CD-8E39-8DC586F1BBC5}"/>
  <tableColumns count="2">
    <tableColumn id="1" xr3:uid="{B8C472B9-EF56-4E76-A77C-85DB40CACC54}" name="Month"/>
    <tableColumn id="2" xr3:uid="{F66A7058-86E8-40C3-9A8F-ECD52D4FBBB1}" name="Sales">
      <calculatedColumnFormula>HLOOKUP(F14,$B$3:$G$9,3,0)</calculatedColumnFormula>
    </tableColumn>
  </tableColumns>
  <tableStyleInfo name="TableStyleMedium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B6F90C1-D107-4808-9C70-015372BBEEDF}" name="Table15" displayName="Table15" ref="I13:J18" totalsRowShown="0">
  <autoFilter ref="I13:J18" xr:uid="{0B6F90C1-D107-4808-9C70-015372BBEEDF}"/>
  <tableColumns count="2">
    <tableColumn id="1" xr3:uid="{94A343AD-DCB6-4954-B44B-25306D5335C6}" name="Month"/>
    <tableColumn id="2" xr3:uid="{6D4FCA28-8D45-4C24-A84F-75B4C960000D}" name="Sales">
      <calculatedColumnFormula>HLOOKUP(I14,$B$3:$G$9,4,0)</calculatedColumnFormula>
    </tableColumn>
  </tableColumns>
  <tableStyleInfo name="TableStyleMedium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A39EBE0-A2AE-4BF5-9265-2FDD8894F1FC}" name="Table16" displayName="Table16" ref="C22:D27" totalsRowShown="0">
  <autoFilter ref="C22:D27" xr:uid="{3A39EBE0-A2AE-4BF5-9265-2FDD8894F1FC}"/>
  <tableColumns count="2">
    <tableColumn id="1" xr3:uid="{036DAD1F-DADD-4275-AAE9-32B824F0611B}" name="Month"/>
    <tableColumn id="2" xr3:uid="{F5BF5134-BDB4-4FF1-93CA-DCCA31F92D45}" name="Sales">
      <calculatedColumnFormula>HLOOKUP(C23,$B$3:$G$9,5,0)</calculatedColumnFormula>
    </tableColumn>
  </tableColumns>
  <tableStyleInfo name="TableStyleMedium1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1E23990-70F9-4EB5-88EE-7660E91D5C2E}" name="Table18" displayName="Table18" ref="F22:G27" totalsRowShown="0">
  <autoFilter ref="F22:G27" xr:uid="{D1E23990-70F9-4EB5-88EE-7660E91D5C2E}"/>
  <tableColumns count="2">
    <tableColumn id="1" xr3:uid="{042C8BB3-D93D-4EA7-9BDE-24B6D7236163}" name="Month"/>
    <tableColumn id="2" xr3:uid="{49A498FD-401A-43F3-BD42-6FEB98A43EA6}" name="Sales">
      <calculatedColumnFormula>HLOOKUP(F23,$B$3:$G$9,6,0)</calculatedColumnFormula>
    </tableColumn>
  </tableColumns>
  <tableStyleInfo name="TableStyleMedium1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4E762CB-C907-4C90-BC17-2D63CA0B6A84}" name="Table19" displayName="Table19" ref="I22:J27" totalsRowShown="0">
  <autoFilter ref="I22:J27" xr:uid="{34E762CB-C907-4C90-BC17-2D63CA0B6A84}"/>
  <tableColumns count="2">
    <tableColumn id="1" xr3:uid="{BF9E3228-E07D-4FDB-97B6-CF105E6DC615}" name="Month"/>
    <tableColumn id="2" xr3:uid="{D2C3E25B-CFBE-4CE0-BD75-C30CB8DF265D}" name="Sales">
      <calculatedColumnFormula>HLOOKUP(I23,$B$3:$G$9,7,0)</calculatedColumnFormula>
    </tableColumn>
  </tableColumns>
  <tableStyleInfo name="TableStyleMedium1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B463F2C-7AE2-42D6-BF53-AC8AA22790D8}" name="Table17" displayName="Table17" ref="C3:H9" totalsRowShown="0" headerRowDxfId="23" dataDxfId="22">
  <autoFilter ref="C3:H9" xr:uid="{8B463F2C-7AE2-42D6-BF53-AC8AA22790D8}"/>
  <tableColumns count="6">
    <tableColumn id="1" xr3:uid="{26711AD1-B19F-4A4E-9801-30B4CAD10967}" name="Product" dataDxfId="21"/>
    <tableColumn id="2" xr3:uid="{4E7BBB9B-6FF3-415D-A778-8A530555D53E}" name="Jan" dataDxfId="20"/>
    <tableColumn id="3" xr3:uid="{0B991EE2-7F26-42C0-A2C3-9E79E0490985}" name="Feb" dataDxfId="19"/>
    <tableColumn id="4" xr3:uid="{ABD42AE1-612E-4738-B7FF-69BE7A467B8C}" name="Mar" dataDxfId="18"/>
    <tableColumn id="5" xr3:uid="{13C610D9-81E9-433F-A0B0-3030551788B9}" name="Apr" dataDxfId="17"/>
    <tableColumn id="6" xr3:uid="{8D65E1BE-E1C2-4C43-91CA-85B17225FEFF}" name="May" dataDxfId="16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39D5AC6-958B-41A8-A784-96252C36B786}" name="Table22" displayName="Table22" ref="F12:G13" totalsRowShown="0">
  <autoFilter ref="F12:G13" xr:uid="{F39D5AC6-958B-41A8-A784-96252C36B786}"/>
  <tableColumns count="2">
    <tableColumn id="1" xr3:uid="{E84B03D6-E5B3-4346-A22F-D5EB2D990230}" name="Product"/>
    <tableColumn id="2" xr3:uid="{4BF11575-1BD3-4888-AABD-27D03A9357A5}" name="Max Sales">
      <calculatedColumnFormula>MAX(D5:H5)</calculatedColumnFormula>
    </tableColumn>
  </tableColumns>
  <tableStyleInfo name="TableStyleMedium10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F2555D1-33E3-4356-9B00-ACD7363C394D}" name="Table178" displayName="Table178" ref="C3:H9" totalsRowShown="0" headerRowDxfId="15" dataDxfId="14">
  <autoFilter ref="C3:H9" xr:uid="{BF2555D1-33E3-4356-9B00-ACD7363C394D}"/>
  <tableColumns count="6">
    <tableColumn id="1" xr3:uid="{2AD6EAFC-8DEB-4D5E-89FD-EE24935CB571}" name="Product" dataDxfId="13"/>
    <tableColumn id="2" xr3:uid="{57ABBCF8-E246-4E0F-B623-9D65CCC3B5FE}" name="Jan" dataDxfId="12"/>
    <tableColumn id="3" xr3:uid="{68DF0833-8721-4B1C-9422-2910344C146F}" name="Feb" dataDxfId="11"/>
    <tableColumn id="4" xr3:uid="{F99EE45F-74C8-4C05-9165-849600EDAABC}" name="Mar" dataDxfId="10"/>
    <tableColumn id="5" xr3:uid="{CA1C3D0F-3E93-49EC-84FB-897B5B9B3636}" name="Apr" dataDxfId="9"/>
    <tableColumn id="6" xr3:uid="{65DC84F6-590D-4A72-A3EF-8EDC30D28D48}" name="May" dataDxfId="8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ABAD19A-A3F5-4C8E-95DB-DFDF3E210DCF}" name="Table21" displayName="Table21" ref="E12:F13" totalsRowShown="0">
  <autoFilter ref="E12:F13" xr:uid="{FABAD19A-A3F5-4C8E-95DB-DFDF3E210DCF}"/>
  <tableColumns count="2">
    <tableColumn id="1" xr3:uid="{3DA49388-40F5-48F0-8610-5CC94A1192CF}" name="Product"/>
    <tableColumn id="2" xr3:uid="{CCBD0D45-C07D-4734-A1C2-FB2CC194BA09}" name="Max Sales">
      <calculatedColumnFormula>MIN(D9:H9)</calculatedColumnFormula>
    </tableColumn>
  </tableColumns>
  <tableStyleInfo name="TableStyleMedium10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23C238-5150-4E90-ACB7-CFDE8D85DED1}" name="Table146" displayName="Table146" ref="B3:G9" totalsRowShown="0" headerRowDxfId="31" dataDxfId="30">
  <autoFilter ref="B3:G9" xr:uid="{0F23C238-5150-4E90-ACB7-CFDE8D85DED1}"/>
  <tableColumns count="6">
    <tableColumn id="1" xr3:uid="{D92C7C11-5778-4C99-8F3B-68A71CDCB464}" name="Product" dataDxfId="29"/>
    <tableColumn id="2" xr3:uid="{DFDB19A6-59AF-408C-B48E-23A9C87D9DB4}" name="Jan" dataDxfId="28"/>
    <tableColumn id="3" xr3:uid="{1F08555B-C2B9-4A43-951F-2BFCB25F0FB7}" name="Feb" dataDxfId="27"/>
    <tableColumn id="4" xr3:uid="{56C6AD64-8126-4D40-94DA-A5D519155997}" name="Mar" dataDxfId="26"/>
    <tableColumn id="5" xr3:uid="{153CC885-08A1-496E-8496-BF9D6CA58D42}" name="Apr" dataDxfId="25"/>
    <tableColumn id="6" xr3:uid="{E2F8E2D6-C91C-4454-BE55-92D0EBA98A7B}" name="May" dataDxfId="24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1AF6EA7-2DBB-49B0-B98C-CB60B981BE59}" name="Table20" displayName="Table20" ref="E12:F13" totalsRowShown="0">
  <autoFilter ref="E12:F13" xr:uid="{F1AF6EA7-2DBB-49B0-B98C-CB60B981BE59}"/>
  <tableColumns count="2">
    <tableColumn id="1" xr3:uid="{809F303D-1858-46A6-B5DC-BBD2B581C958}" name="Product"/>
    <tableColumn id="2" xr3:uid="{3868E485-6B29-4A01-9078-FB03FF326357}" name="Avg Sales">
      <calculatedColumnFormula>AVERAGE(C8:G8)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7D879-01DE-4535-8752-5492A841157E}">
  <dimension ref="C3:H9"/>
  <sheetViews>
    <sheetView workbookViewId="0">
      <selection activeCell="A13" sqref="A13"/>
    </sheetView>
  </sheetViews>
  <sheetFormatPr defaultColWidth="12.7109375" defaultRowHeight="23.25" customHeight="1" x14ac:dyDescent="0.25"/>
  <sheetData>
    <row r="3" spans="3:8" ht="23.25" customHeight="1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3:8" ht="23.25" customHeight="1" x14ac:dyDescent="0.25">
      <c r="C4" s="2" t="s">
        <v>6</v>
      </c>
      <c r="D4" s="2">
        <v>120</v>
      </c>
      <c r="E4" s="2">
        <v>130</v>
      </c>
      <c r="F4" s="2">
        <v>140</v>
      </c>
      <c r="G4" s="2">
        <v>150</v>
      </c>
      <c r="H4" s="2">
        <v>160</v>
      </c>
    </row>
    <row r="5" spans="3:8" ht="23.25" customHeight="1" x14ac:dyDescent="0.25">
      <c r="C5" s="2" t="s">
        <v>7</v>
      </c>
      <c r="D5" s="2">
        <v>150</v>
      </c>
      <c r="E5" s="2">
        <v>160</v>
      </c>
      <c r="F5" s="2">
        <v>170</v>
      </c>
      <c r="G5" s="2">
        <v>180</v>
      </c>
      <c r="H5" s="2">
        <v>190</v>
      </c>
    </row>
    <row r="6" spans="3:8" ht="23.25" customHeight="1" x14ac:dyDescent="0.25">
      <c r="C6" s="2" t="s">
        <v>8</v>
      </c>
      <c r="D6" s="2">
        <v>200</v>
      </c>
      <c r="E6" s="2">
        <v>210</v>
      </c>
      <c r="F6" s="2">
        <v>220</v>
      </c>
      <c r="G6" s="2">
        <v>230</v>
      </c>
      <c r="H6" s="2">
        <v>240</v>
      </c>
    </row>
    <row r="7" spans="3:8" ht="23.25" customHeight="1" x14ac:dyDescent="0.25">
      <c r="C7" s="2" t="s">
        <v>9</v>
      </c>
      <c r="D7" s="2">
        <v>90</v>
      </c>
      <c r="E7" s="2">
        <v>100</v>
      </c>
      <c r="F7" s="2">
        <v>110</v>
      </c>
      <c r="G7" s="2">
        <v>120</v>
      </c>
      <c r="H7" s="2">
        <v>130</v>
      </c>
    </row>
    <row r="8" spans="3:8" ht="23.25" customHeight="1" x14ac:dyDescent="0.25">
      <c r="C8" s="2" t="s">
        <v>10</v>
      </c>
      <c r="D8" s="2">
        <v>220</v>
      </c>
      <c r="E8" s="2">
        <v>230</v>
      </c>
      <c r="F8" s="2">
        <v>240</v>
      </c>
      <c r="G8" s="2">
        <v>250</v>
      </c>
      <c r="H8" s="2">
        <v>260</v>
      </c>
    </row>
    <row r="9" spans="3:8" ht="23.25" customHeight="1" x14ac:dyDescent="0.25">
      <c r="C9" s="2" t="s">
        <v>11</v>
      </c>
      <c r="D9" s="2">
        <v>130</v>
      </c>
      <c r="E9" s="2">
        <v>140</v>
      </c>
      <c r="F9" s="2">
        <v>150</v>
      </c>
      <c r="G9" s="2">
        <v>160</v>
      </c>
      <c r="H9" s="2">
        <v>170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F1A5-FE2A-466C-BFC1-6CC15C970659}">
  <dimension ref="B3:B9"/>
  <sheetViews>
    <sheetView workbookViewId="0">
      <selection activeCell="C21" sqref="C21"/>
    </sheetView>
  </sheetViews>
  <sheetFormatPr defaultRowHeight="15" x14ac:dyDescent="0.25"/>
  <sheetData>
    <row r="3" spans="2:2" x14ac:dyDescent="0.25">
      <c r="B3" t="s">
        <v>27</v>
      </c>
    </row>
    <row r="4" spans="2:2" x14ac:dyDescent="0.25">
      <c r="B4" t="s">
        <v>28</v>
      </c>
    </row>
    <row r="5" spans="2:2" x14ac:dyDescent="0.25">
      <c r="B5" t="s">
        <v>29</v>
      </c>
    </row>
    <row r="6" spans="2:2" x14ac:dyDescent="0.25">
      <c r="B6" s="3" t="s">
        <v>30</v>
      </c>
    </row>
    <row r="7" spans="2:2" x14ac:dyDescent="0.25">
      <c r="B7" s="3" t="s">
        <v>31</v>
      </c>
    </row>
    <row r="8" spans="2:2" x14ac:dyDescent="0.25">
      <c r="B8" t="s">
        <v>32</v>
      </c>
    </row>
    <row r="9" spans="2:2" x14ac:dyDescent="0.25">
      <c r="B9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B1ABC-3DDF-467D-AA92-978AC84BA309}">
  <dimension ref="A1:G13"/>
  <sheetViews>
    <sheetView workbookViewId="0">
      <selection activeCell="D19" sqref="D19"/>
    </sheetView>
  </sheetViews>
  <sheetFormatPr defaultColWidth="11.5703125" defaultRowHeight="16.5" customHeight="1" x14ac:dyDescent="0.25"/>
  <cols>
    <col min="4" max="4" width="15.7109375" customWidth="1"/>
  </cols>
  <sheetData>
    <row r="1" spans="1:7" ht="16.5" customHeight="1" x14ac:dyDescent="0.25">
      <c r="A1" t="s">
        <v>12</v>
      </c>
    </row>
    <row r="3" spans="1:7" ht="16.5" customHeight="1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6.5" customHeight="1" x14ac:dyDescent="0.25">
      <c r="B4" s="2" t="s">
        <v>6</v>
      </c>
      <c r="C4" s="2">
        <v>120</v>
      </c>
      <c r="D4" s="2">
        <v>130</v>
      </c>
      <c r="E4" s="2">
        <v>140</v>
      </c>
      <c r="F4" s="2">
        <v>150</v>
      </c>
      <c r="G4" s="2">
        <v>160</v>
      </c>
    </row>
    <row r="5" spans="1:7" ht="16.5" customHeight="1" x14ac:dyDescent="0.25">
      <c r="B5" s="2" t="s">
        <v>7</v>
      </c>
      <c r="C5" s="2">
        <v>150</v>
      </c>
      <c r="D5" s="2">
        <v>160</v>
      </c>
      <c r="E5" s="2">
        <v>170</v>
      </c>
      <c r="F5" s="2">
        <v>180</v>
      </c>
      <c r="G5" s="2">
        <v>190</v>
      </c>
    </row>
    <row r="6" spans="1:7" ht="16.5" customHeight="1" x14ac:dyDescent="0.25">
      <c r="B6" s="2" t="s">
        <v>8</v>
      </c>
      <c r="C6" s="2">
        <v>200</v>
      </c>
      <c r="D6" s="2">
        <v>210</v>
      </c>
      <c r="E6" s="2">
        <v>220</v>
      </c>
      <c r="F6" s="2">
        <v>230</v>
      </c>
      <c r="G6" s="2">
        <v>240</v>
      </c>
    </row>
    <row r="7" spans="1:7" ht="16.5" customHeight="1" x14ac:dyDescent="0.25">
      <c r="B7" s="2" t="s">
        <v>9</v>
      </c>
      <c r="C7" s="2">
        <v>90</v>
      </c>
      <c r="D7" s="2">
        <v>100</v>
      </c>
      <c r="E7" s="2">
        <v>110</v>
      </c>
      <c r="F7" s="2">
        <v>120</v>
      </c>
      <c r="G7" s="2">
        <v>130</v>
      </c>
    </row>
    <row r="8" spans="1:7" ht="16.5" customHeight="1" x14ac:dyDescent="0.25">
      <c r="B8" s="2" t="s">
        <v>10</v>
      </c>
      <c r="C8" s="2">
        <v>220</v>
      </c>
      <c r="D8" s="2">
        <v>230</v>
      </c>
      <c r="E8" s="2">
        <v>240</v>
      </c>
      <c r="F8" s="2">
        <v>250</v>
      </c>
      <c r="G8" s="2">
        <v>260</v>
      </c>
    </row>
    <row r="9" spans="1:7" ht="16.5" customHeight="1" x14ac:dyDescent="0.25">
      <c r="B9" s="2" t="s">
        <v>11</v>
      </c>
      <c r="C9" s="2">
        <v>130</v>
      </c>
      <c r="D9" s="2">
        <v>140</v>
      </c>
      <c r="E9" s="2">
        <v>150</v>
      </c>
      <c r="F9" s="2">
        <v>160</v>
      </c>
      <c r="G9" s="2">
        <v>170</v>
      </c>
    </row>
    <row r="12" spans="1:7" ht="16.5" customHeight="1" x14ac:dyDescent="0.25">
      <c r="C12" t="s">
        <v>13</v>
      </c>
      <c r="D12" t="s">
        <v>17</v>
      </c>
    </row>
    <row r="13" spans="1:7" ht="16.5" customHeight="1" x14ac:dyDescent="0.25">
      <c r="C13" t="s">
        <v>6</v>
      </c>
      <c r="D13">
        <f>HLOOKUP(E3,B3:G9,2,0)</f>
        <v>140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B8E44-7C6D-427F-AF89-F6DE84C515DF}">
  <dimension ref="A1:G13"/>
  <sheetViews>
    <sheetView workbookViewId="0">
      <selection activeCell="D15" sqref="D15"/>
    </sheetView>
  </sheetViews>
  <sheetFormatPr defaultColWidth="12.85546875" defaultRowHeight="20.25" customHeight="1" x14ac:dyDescent="0.25"/>
  <cols>
    <col min="6" max="6" width="14" customWidth="1"/>
  </cols>
  <sheetData>
    <row r="1" spans="1:7" ht="20.25" customHeight="1" x14ac:dyDescent="0.25">
      <c r="A1" t="s">
        <v>15</v>
      </c>
    </row>
    <row r="3" spans="1:7" ht="20.25" customHeight="1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20.25" customHeight="1" x14ac:dyDescent="0.25">
      <c r="B4" s="2" t="s">
        <v>6</v>
      </c>
      <c r="C4" s="2">
        <v>120</v>
      </c>
      <c r="D4" s="2">
        <v>130</v>
      </c>
      <c r="E4" s="2">
        <v>140</v>
      </c>
      <c r="F4" s="2">
        <v>150</v>
      </c>
      <c r="G4" s="2">
        <v>160</v>
      </c>
    </row>
    <row r="5" spans="1:7" ht="20.25" customHeight="1" x14ac:dyDescent="0.25">
      <c r="B5" s="2" t="s">
        <v>7</v>
      </c>
      <c r="C5" s="2">
        <v>150</v>
      </c>
      <c r="D5" s="2">
        <v>160</v>
      </c>
      <c r="E5" s="2">
        <v>170</v>
      </c>
      <c r="F5" s="2">
        <v>180</v>
      </c>
      <c r="G5" s="2">
        <v>190</v>
      </c>
    </row>
    <row r="6" spans="1:7" ht="20.25" customHeight="1" x14ac:dyDescent="0.25">
      <c r="B6" s="2" t="s">
        <v>8</v>
      </c>
      <c r="C6" s="2">
        <v>200</v>
      </c>
      <c r="D6" s="2">
        <v>210</v>
      </c>
      <c r="E6" s="2">
        <v>220</v>
      </c>
      <c r="F6" s="2">
        <v>230</v>
      </c>
      <c r="G6" s="2">
        <v>240</v>
      </c>
    </row>
    <row r="7" spans="1:7" ht="20.25" customHeight="1" x14ac:dyDescent="0.25">
      <c r="B7" s="2" t="s">
        <v>9</v>
      </c>
      <c r="C7" s="2">
        <v>90</v>
      </c>
      <c r="D7" s="2">
        <v>100</v>
      </c>
      <c r="E7" s="2">
        <v>110</v>
      </c>
      <c r="F7" s="2">
        <v>120</v>
      </c>
      <c r="G7" s="2">
        <v>130</v>
      </c>
    </row>
    <row r="8" spans="1:7" ht="20.25" customHeight="1" x14ac:dyDescent="0.25">
      <c r="B8" s="2" t="s">
        <v>10</v>
      </c>
      <c r="C8" s="2">
        <v>220</v>
      </c>
      <c r="D8" s="2">
        <v>230</v>
      </c>
      <c r="E8" s="2">
        <v>240</v>
      </c>
      <c r="F8" s="2">
        <v>250</v>
      </c>
      <c r="G8" s="2">
        <v>260</v>
      </c>
    </row>
    <row r="9" spans="1:7" ht="20.25" customHeight="1" x14ac:dyDescent="0.25">
      <c r="B9" s="2" t="s">
        <v>11</v>
      </c>
      <c r="C9" s="2">
        <v>130</v>
      </c>
      <c r="D9" s="2">
        <v>140</v>
      </c>
      <c r="E9" s="2">
        <v>150</v>
      </c>
      <c r="F9" s="2">
        <v>160</v>
      </c>
      <c r="G9" s="2">
        <v>170</v>
      </c>
    </row>
    <row r="12" spans="1:7" ht="20.25" customHeight="1" x14ac:dyDescent="0.25">
      <c r="E12" t="s">
        <v>0</v>
      </c>
      <c r="F12" t="s">
        <v>19</v>
      </c>
    </row>
    <row r="13" spans="1:7" ht="20.25" customHeight="1" x14ac:dyDescent="0.25">
      <c r="E13" t="s">
        <v>9</v>
      </c>
      <c r="F13">
        <f>HLOOKUP(G3,B3:G9,5,0)</f>
        <v>130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59E0-82F7-4298-B2DC-E0CE2B9B3A2D}">
  <dimension ref="A1:G13"/>
  <sheetViews>
    <sheetView workbookViewId="0">
      <selection activeCell="D17" sqref="D17"/>
    </sheetView>
  </sheetViews>
  <sheetFormatPr defaultColWidth="15.28515625" defaultRowHeight="18" customHeight="1" x14ac:dyDescent="0.25"/>
  <sheetData>
    <row r="1" spans="1:7" ht="18" customHeight="1" x14ac:dyDescent="0.25">
      <c r="A1" t="s">
        <v>16</v>
      </c>
    </row>
    <row r="3" spans="1:7" ht="18" customHeight="1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8" customHeight="1" x14ac:dyDescent="0.25">
      <c r="B4" s="2" t="s">
        <v>6</v>
      </c>
      <c r="C4" s="2">
        <v>120</v>
      </c>
      <c r="D4" s="2">
        <v>130</v>
      </c>
      <c r="E4" s="2">
        <v>140</v>
      </c>
      <c r="F4" s="2">
        <v>150</v>
      </c>
      <c r="G4" s="2">
        <v>160</v>
      </c>
    </row>
    <row r="5" spans="1:7" ht="18" customHeight="1" x14ac:dyDescent="0.25">
      <c r="B5" s="2" t="s">
        <v>7</v>
      </c>
      <c r="C5" s="2">
        <v>150</v>
      </c>
      <c r="D5" s="2">
        <v>160</v>
      </c>
      <c r="E5" s="2">
        <v>170</v>
      </c>
      <c r="F5" s="2">
        <v>180</v>
      </c>
      <c r="G5" s="2">
        <v>190</v>
      </c>
    </row>
    <row r="6" spans="1:7" ht="18" customHeight="1" x14ac:dyDescent="0.25">
      <c r="B6" s="2" t="s">
        <v>8</v>
      </c>
      <c r="C6" s="2">
        <v>200</v>
      </c>
      <c r="D6" s="2">
        <v>210</v>
      </c>
      <c r="E6" s="2">
        <v>220</v>
      </c>
      <c r="F6" s="2">
        <v>230</v>
      </c>
      <c r="G6" s="2">
        <v>240</v>
      </c>
    </row>
    <row r="7" spans="1:7" ht="18" customHeight="1" x14ac:dyDescent="0.25">
      <c r="B7" s="2" t="s">
        <v>9</v>
      </c>
      <c r="C7" s="2">
        <v>90</v>
      </c>
      <c r="D7" s="2">
        <v>100</v>
      </c>
      <c r="E7" s="2">
        <v>110</v>
      </c>
      <c r="F7" s="2">
        <v>120</v>
      </c>
      <c r="G7" s="2">
        <v>130</v>
      </c>
    </row>
    <row r="8" spans="1:7" ht="18" customHeight="1" x14ac:dyDescent="0.25">
      <c r="B8" s="2" t="s">
        <v>10</v>
      </c>
      <c r="C8" s="2">
        <v>220</v>
      </c>
      <c r="D8" s="2">
        <v>230</v>
      </c>
      <c r="E8" s="2">
        <v>240</v>
      </c>
      <c r="F8" s="2">
        <v>250</v>
      </c>
      <c r="G8" s="2">
        <v>260</v>
      </c>
    </row>
    <row r="9" spans="1:7" ht="18" customHeight="1" x14ac:dyDescent="0.25">
      <c r="B9" s="2" t="s">
        <v>11</v>
      </c>
      <c r="C9" s="2">
        <v>130</v>
      </c>
      <c r="D9" s="2">
        <v>140</v>
      </c>
      <c r="E9" s="2">
        <v>150</v>
      </c>
      <c r="F9" s="2">
        <v>160</v>
      </c>
      <c r="G9" s="2">
        <v>170</v>
      </c>
    </row>
    <row r="12" spans="1:7" ht="18" customHeight="1" x14ac:dyDescent="0.25">
      <c r="D12" t="s">
        <v>0</v>
      </c>
      <c r="E12" t="s">
        <v>18</v>
      </c>
    </row>
    <row r="13" spans="1:7" ht="18" customHeight="1" x14ac:dyDescent="0.25">
      <c r="D13" t="s">
        <v>8</v>
      </c>
      <c r="E13">
        <f>HLOOKUP(D3,B3:G9,4,0)</f>
        <v>210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03E7-F64C-4E19-884C-1F0D9B668CC7}">
  <dimension ref="A1:J27"/>
  <sheetViews>
    <sheetView topLeftCell="A13" workbookViewId="0">
      <selection activeCell="M30" sqref="M30"/>
    </sheetView>
  </sheetViews>
  <sheetFormatPr defaultColWidth="11.5703125" defaultRowHeight="15.75" customHeight="1" x14ac:dyDescent="0.25"/>
  <sheetData>
    <row r="1" spans="1:10" ht="15.75" customHeight="1" x14ac:dyDescent="0.25">
      <c r="A1" s="3" t="s">
        <v>20</v>
      </c>
    </row>
    <row r="3" spans="1:10" ht="15.75" customHeight="1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10" ht="15.75" customHeight="1" x14ac:dyDescent="0.25">
      <c r="B4" s="2" t="s">
        <v>6</v>
      </c>
      <c r="C4" s="2">
        <v>120</v>
      </c>
      <c r="D4" s="2">
        <v>130</v>
      </c>
      <c r="E4" s="2">
        <v>140</v>
      </c>
      <c r="F4" s="2">
        <v>150</v>
      </c>
      <c r="G4" s="2">
        <v>160</v>
      </c>
    </row>
    <row r="5" spans="1:10" ht="15.75" customHeight="1" x14ac:dyDescent="0.25">
      <c r="B5" s="2" t="s">
        <v>7</v>
      </c>
      <c r="C5" s="2">
        <v>150</v>
      </c>
      <c r="D5" s="2">
        <v>160</v>
      </c>
      <c r="E5" s="2">
        <v>170</v>
      </c>
      <c r="F5" s="2">
        <v>180</v>
      </c>
      <c r="G5" s="2">
        <v>190</v>
      </c>
    </row>
    <row r="6" spans="1:10" ht="15.75" customHeight="1" x14ac:dyDescent="0.25">
      <c r="B6" s="2" t="s">
        <v>8</v>
      </c>
      <c r="C6" s="2">
        <v>200</v>
      </c>
      <c r="D6" s="2">
        <v>210</v>
      </c>
      <c r="E6" s="2">
        <v>220</v>
      </c>
      <c r="F6" s="2">
        <v>230</v>
      </c>
      <c r="G6" s="2">
        <v>240</v>
      </c>
    </row>
    <row r="7" spans="1:10" ht="15.75" customHeight="1" x14ac:dyDescent="0.25">
      <c r="B7" s="2" t="s">
        <v>9</v>
      </c>
      <c r="C7" s="2">
        <v>90</v>
      </c>
      <c r="D7" s="2">
        <v>100</v>
      </c>
      <c r="E7" s="2">
        <v>110</v>
      </c>
      <c r="F7" s="2">
        <v>120</v>
      </c>
      <c r="G7" s="2">
        <v>130</v>
      </c>
    </row>
    <row r="8" spans="1:10" ht="15.75" customHeight="1" x14ac:dyDescent="0.25">
      <c r="B8" s="2" t="s">
        <v>10</v>
      </c>
      <c r="C8" s="2">
        <v>220</v>
      </c>
      <c r="D8" s="2">
        <v>230</v>
      </c>
      <c r="E8" s="2">
        <v>240</v>
      </c>
      <c r="F8" s="2">
        <v>250</v>
      </c>
      <c r="G8" s="2">
        <v>260</v>
      </c>
    </row>
    <row r="9" spans="1:10" ht="15.75" customHeight="1" x14ac:dyDescent="0.25">
      <c r="B9" s="2" t="s">
        <v>11</v>
      </c>
      <c r="C9" s="2">
        <v>130</v>
      </c>
      <c r="D9" s="2">
        <v>140</v>
      </c>
      <c r="E9" s="2">
        <v>150</v>
      </c>
      <c r="F9" s="2">
        <v>160</v>
      </c>
      <c r="G9" s="2">
        <v>170</v>
      </c>
    </row>
    <row r="12" spans="1:10" ht="15.75" customHeight="1" x14ac:dyDescent="0.25">
      <c r="C12" s="4" t="s">
        <v>6</v>
      </c>
      <c r="D12" s="4"/>
      <c r="F12" s="4" t="s">
        <v>7</v>
      </c>
      <c r="G12" s="4"/>
      <c r="I12" s="4" t="s">
        <v>8</v>
      </c>
      <c r="J12" s="4"/>
    </row>
    <row r="13" spans="1:10" ht="15.75" customHeight="1" x14ac:dyDescent="0.25">
      <c r="C13" t="s">
        <v>24</v>
      </c>
      <c r="D13" t="s">
        <v>14</v>
      </c>
      <c r="F13" t="s">
        <v>24</v>
      </c>
      <c r="G13" t="s">
        <v>14</v>
      </c>
      <c r="I13" t="s">
        <v>24</v>
      </c>
      <c r="J13" t="s">
        <v>14</v>
      </c>
    </row>
    <row r="14" spans="1:10" ht="15.75" customHeight="1" x14ac:dyDescent="0.25">
      <c r="C14" t="s">
        <v>1</v>
      </c>
      <c r="D14">
        <f>HLOOKUP(C14,$B$3:$G$9,2,0)</f>
        <v>120</v>
      </c>
      <c r="F14" t="s">
        <v>1</v>
      </c>
      <c r="G14">
        <f>HLOOKUP(F14,$B$3:$G$9,3,0)</f>
        <v>150</v>
      </c>
      <c r="I14" t="s">
        <v>1</v>
      </c>
      <c r="J14">
        <f>HLOOKUP(I14,$B$3:$G$9,4,0)</f>
        <v>200</v>
      </c>
    </row>
    <row r="15" spans="1:10" ht="15.75" customHeight="1" x14ac:dyDescent="0.25">
      <c r="C15" t="s">
        <v>2</v>
      </c>
      <c r="D15">
        <f t="shared" ref="D15:D18" si="0">HLOOKUP(C15,$B$3:$G$9,2,0)</f>
        <v>130</v>
      </c>
      <c r="F15" t="s">
        <v>2</v>
      </c>
      <c r="G15">
        <f t="shared" ref="G15:G18" si="1">HLOOKUP(F15,$B$3:$G$9,3,0)</f>
        <v>160</v>
      </c>
      <c r="I15" t="s">
        <v>2</v>
      </c>
      <c r="J15">
        <f t="shared" ref="J15:J18" si="2">HLOOKUP(I15,$B$3:$G$9,4,0)</f>
        <v>210</v>
      </c>
    </row>
    <row r="16" spans="1:10" ht="15.75" customHeight="1" x14ac:dyDescent="0.25">
      <c r="C16" t="s">
        <v>3</v>
      </c>
      <c r="D16">
        <f t="shared" si="0"/>
        <v>140</v>
      </c>
      <c r="F16" t="s">
        <v>3</v>
      </c>
      <c r="G16">
        <f t="shared" si="1"/>
        <v>170</v>
      </c>
      <c r="I16" t="s">
        <v>3</v>
      </c>
      <c r="J16">
        <f t="shared" si="2"/>
        <v>220</v>
      </c>
    </row>
    <row r="17" spans="3:10" ht="15.75" customHeight="1" x14ac:dyDescent="0.25">
      <c r="C17" t="s">
        <v>4</v>
      </c>
      <c r="D17">
        <f t="shared" si="0"/>
        <v>150</v>
      </c>
      <c r="F17" t="s">
        <v>4</v>
      </c>
      <c r="G17">
        <f t="shared" si="1"/>
        <v>180</v>
      </c>
      <c r="I17" t="s">
        <v>4</v>
      </c>
      <c r="J17">
        <f t="shared" si="2"/>
        <v>230</v>
      </c>
    </row>
    <row r="18" spans="3:10" ht="15.75" customHeight="1" x14ac:dyDescent="0.25">
      <c r="C18" t="s">
        <v>5</v>
      </c>
      <c r="D18">
        <f t="shared" si="0"/>
        <v>160</v>
      </c>
      <c r="F18" t="s">
        <v>5</v>
      </c>
      <c r="G18">
        <f t="shared" si="1"/>
        <v>190</v>
      </c>
      <c r="I18" t="s">
        <v>5</v>
      </c>
      <c r="J18">
        <f t="shared" si="2"/>
        <v>240</v>
      </c>
    </row>
    <row r="21" spans="3:10" ht="15.75" customHeight="1" x14ac:dyDescent="0.25">
      <c r="C21" s="4" t="s">
        <v>9</v>
      </c>
      <c r="D21" s="4"/>
      <c r="F21" s="4" t="s">
        <v>10</v>
      </c>
      <c r="G21" s="4"/>
      <c r="I21" s="4" t="s">
        <v>11</v>
      </c>
      <c r="J21" s="4"/>
    </row>
    <row r="22" spans="3:10" ht="15.75" customHeight="1" x14ac:dyDescent="0.25">
      <c r="C22" t="s">
        <v>24</v>
      </c>
      <c r="D22" t="s">
        <v>14</v>
      </c>
      <c r="F22" t="s">
        <v>24</v>
      </c>
      <c r="G22" t="s">
        <v>14</v>
      </c>
      <c r="I22" t="s">
        <v>24</v>
      </c>
      <c r="J22" t="s">
        <v>14</v>
      </c>
    </row>
    <row r="23" spans="3:10" ht="15.75" customHeight="1" x14ac:dyDescent="0.25">
      <c r="C23" t="s">
        <v>1</v>
      </c>
      <c r="D23">
        <f>HLOOKUP(C23,$B$3:$G$9,5,0)</f>
        <v>90</v>
      </c>
      <c r="F23" t="s">
        <v>1</v>
      </c>
      <c r="G23">
        <f>HLOOKUP(F23,$B$3:$G$9,6,0)</f>
        <v>220</v>
      </c>
      <c r="I23" t="s">
        <v>1</v>
      </c>
      <c r="J23">
        <f>HLOOKUP(I23,$B$3:$G$9,7,0)</f>
        <v>130</v>
      </c>
    </row>
    <row r="24" spans="3:10" ht="15.75" customHeight="1" x14ac:dyDescent="0.25">
      <c r="C24" t="s">
        <v>2</v>
      </c>
      <c r="D24">
        <f t="shared" ref="D24:D27" si="3">HLOOKUP(C24,$B$3:$G$9,5,0)</f>
        <v>100</v>
      </c>
      <c r="F24" t="s">
        <v>2</v>
      </c>
      <c r="G24">
        <f t="shared" ref="G24:G27" si="4">HLOOKUP(F24,$B$3:$G$9,6,0)</f>
        <v>230</v>
      </c>
      <c r="I24" t="s">
        <v>2</v>
      </c>
      <c r="J24">
        <f t="shared" ref="J24:J27" si="5">HLOOKUP(I24,$B$3:$G$9,7,0)</f>
        <v>140</v>
      </c>
    </row>
    <row r="25" spans="3:10" ht="15.75" customHeight="1" x14ac:dyDescent="0.25">
      <c r="C25" t="s">
        <v>3</v>
      </c>
      <c r="D25">
        <f t="shared" si="3"/>
        <v>110</v>
      </c>
      <c r="F25" t="s">
        <v>3</v>
      </c>
      <c r="G25">
        <f t="shared" si="4"/>
        <v>240</v>
      </c>
      <c r="I25" t="s">
        <v>3</v>
      </c>
      <c r="J25">
        <f t="shared" si="5"/>
        <v>150</v>
      </c>
    </row>
    <row r="26" spans="3:10" ht="15.75" customHeight="1" x14ac:dyDescent="0.25">
      <c r="C26" t="s">
        <v>4</v>
      </c>
      <c r="D26">
        <f t="shared" si="3"/>
        <v>120</v>
      </c>
      <c r="F26" t="s">
        <v>4</v>
      </c>
      <c r="G26">
        <f t="shared" si="4"/>
        <v>250</v>
      </c>
      <c r="I26" t="s">
        <v>4</v>
      </c>
      <c r="J26">
        <f t="shared" si="5"/>
        <v>160</v>
      </c>
    </row>
    <row r="27" spans="3:10" ht="15.75" customHeight="1" x14ac:dyDescent="0.25">
      <c r="C27" t="s">
        <v>5</v>
      </c>
      <c r="D27">
        <f t="shared" si="3"/>
        <v>130</v>
      </c>
      <c r="F27" t="s">
        <v>5</v>
      </c>
      <c r="G27">
        <f t="shared" si="4"/>
        <v>260</v>
      </c>
      <c r="I27" t="s">
        <v>5</v>
      </c>
      <c r="J27">
        <f t="shared" si="5"/>
        <v>170</v>
      </c>
    </row>
  </sheetData>
  <mergeCells count="6">
    <mergeCell ref="C12:D12"/>
    <mergeCell ref="F12:G12"/>
    <mergeCell ref="I12:J12"/>
    <mergeCell ref="C21:D21"/>
    <mergeCell ref="F21:G21"/>
    <mergeCell ref="I21:J21"/>
  </mergeCells>
  <dataValidations count="1">
    <dataValidation type="list" allowBlank="1" showInputMessage="1" showErrorMessage="1" sqref="C14:C18 F14:F18 I14:I18 C23:C27 F23:F27 I23:I27" xr:uid="{DAC2B6C5-934B-4FB5-BD4D-97B5BC4CC390}">
      <formula1>$C$3:$G$3</formula1>
    </dataValidation>
  </dataValidation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8F0E-34DB-434B-9BE7-F5DD443DD04E}">
  <dimension ref="A1:H13"/>
  <sheetViews>
    <sheetView workbookViewId="0">
      <selection activeCell="G17" sqref="G17"/>
    </sheetView>
  </sheetViews>
  <sheetFormatPr defaultColWidth="12.140625" defaultRowHeight="17.25" customHeight="1" x14ac:dyDescent="0.25"/>
  <sheetData>
    <row r="1" spans="1:8" ht="17.25" customHeight="1" x14ac:dyDescent="0.25">
      <c r="A1" t="s">
        <v>21</v>
      </c>
    </row>
    <row r="3" spans="1:8" ht="17.25" customHeight="1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1:8" ht="17.25" customHeight="1" x14ac:dyDescent="0.25">
      <c r="C4" s="2" t="s">
        <v>6</v>
      </c>
      <c r="D4" s="2">
        <v>120</v>
      </c>
      <c r="E4" s="2">
        <v>130</v>
      </c>
      <c r="F4" s="2">
        <v>140</v>
      </c>
      <c r="G4" s="2">
        <v>150</v>
      </c>
      <c r="H4" s="2">
        <v>160</v>
      </c>
    </row>
    <row r="5" spans="1:8" ht="17.25" customHeight="1" x14ac:dyDescent="0.25">
      <c r="C5" s="2" t="s">
        <v>7</v>
      </c>
      <c r="D5" s="2">
        <v>150</v>
      </c>
      <c r="E5" s="2">
        <v>160</v>
      </c>
      <c r="F5" s="2">
        <v>170</v>
      </c>
      <c r="G5" s="2">
        <v>180</v>
      </c>
      <c r="H5" s="2">
        <v>190</v>
      </c>
    </row>
    <row r="6" spans="1:8" ht="17.25" customHeight="1" x14ac:dyDescent="0.25">
      <c r="C6" s="2" t="s">
        <v>8</v>
      </c>
      <c r="D6" s="2">
        <v>200</v>
      </c>
      <c r="E6" s="2">
        <v>210</v>
      </c>
      <c r="F6" s="2">
        <v>220</v>
      </c>
      <c r="G6" s="2">
        <v>230</v>
      </c>
      <c r="H6" s="2">
        <v>240</v>
      </c>
    </row>
    <row r="7" spans="1:8" ht="17.25" customHeight="1" x14ac:dyDescent="0.25">
      <c r="C7" s="2" t="s">
        <v>9</v>
      </c>
      <c r="D7" s="2">
        <v>90</v>
      </c>
      <c r="E7" s="2">
        <v>100</v>
      </c>
      <c r="F7" s="2">
        <v>110</v>
      </c>
      <c r="G7" s="2">
        <v>120</v>
      </c>
      <c r="H7" s="2">
        <v>130</v>
      </c>
    </row>
    <row r="8" spans="1:8" ht="17.25" customHeight="1" x14ac:dyDescent="0.25">
      <c r="C8" s="2" t="s">
        <v>10</v>
      </c>
      <c r="D8" s="2">
        <v>220</v>
      </c>
      <c r="E8" s="2">
        <v>230</v>
      </c>
      <c r="F8" s="2">
        <v>240</v>
      </c>
      <c r="G8" s="2">
        <v>250</v>
      </c>
      <c r="H8" s="2">
        <v>260</v>
      </c>
    </row>
    <row r="9" spans="1:8" ht="17.25" customHeight="1" x14ac:dyDescent="0.25">
      <c r="C9" s="2" t="s">
        <v>11</v>
      </c>
      <c r="D9" s="2">
        <v>130</v>
      </c>
      <c r="E9" s="2">
        <v>140</v>
      </c>
      <c r="F9" s="2">
        <v>150</v>
      </c>
      <c r="G9" s="2">
        <v>160</v>
      </c>
      <c r="H9" s="2">
        <v>170</v>
      </c>
    </row>
    <row r="12" spans="1:8" ht="17.25" customHeight="1" x14ac:dyDescent="0.25">
      <c r="F12" t="s">
        <v>0</v>
      </c>
      <c r="G12" t="s">
        <v>22</v>
      </c>
    </row>
    <row r="13" spans="1:8" ht="17.25" customHeight="1" x14ac:dyDescent="0.25">
      <c r="F13" t="s">
        <v>7</v>
      </c>
      <c r="G13">
        <f>MAX(D5:H5)</f>
        <v>190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3928E-F80F-46C7-A6E0-B5372EC341DB}">
  <dimension ref="A1:H13"/>
  <sheetViews>
    <sheetView workbookViewId="0">
      <selection activeCell="G16" sqref="G16"/>
    </sheetView>
  </sheetViews>
  <sheetFormatPr defaultColWidth="12.85546875" defaultRowHeight="18" customHeight="1" x14ac:dyDescent="0.25"/>
  <sheetData>
    <row r="1" spans="1:8" ht="18" customHeight="1" x14ac:dyDescent="0.25">
      <c r="A1" t="s">
        <v>23</v>
      </c>
    </row>
    <row r="3" spans="1:8" ht="18" customHeight="1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1:8" ht="18" customHeight="1" x14ac:dyDescent="0.25">
      <c r="C4" s="2" t="s">
        <v>6</v>
      </c>
      <c r="D4" s="2">
        <v>120</v>
      </c>
      <c r="E4" s="2">
        <v>130</v>
      </c>
      <c r="F4" s="2">
        <v>140</v>
      </c>
      <c r="G4" s="2">
        <v>150</v>
      </c>
      <c r="H4" s="2">
        <v>160</v>
      </c>
    </row>
    <row r="5" spans="1:8" ht="18" customHeight="1" x14ac:dyDescent="0.25">
      <c r="C5" s="2" t="s">
        <v>7</v>
      </c>
      <c r="D5" s="2">
        <v>150</v>
      </c>
      <c r="E5" s="2">
        <v>160</v>
      </c>
      <c r="F5" s="2">
        <v>170</v>
      </c>
      <c r="G5" s="2">
        <v>180</v>
      </c>
      <c r="H5" s="2">
        <v>190</v>
      </c>
    </row>
    <row r="6" spans="1:8" ht="18" customHeight="1" x14ac:dyDescent="0.25">
      <c r="C6" s="2" t="s">
        <v>8</v>
      </c>
      <c r="D6" s="2">
        <v>200</v>
      </c>
      <c r="E6" s="2">
        <v>210</v>
      </c>
      <c r="F6" s="2">
        <v>220</v>
      </c>
      <c r="G6" s="2">
        <v>230</v>
      </c>
      <c r="H6" s="2">
        <v>240</v>
      </c>
    </row>
    <row r="7" spans="1:8" ht="18" customHeight="1" x14ac:dyDescent="0.25">
      <c r="C7" s="2" t="s">
        <v>9</v>
      </c>
      <c r="D7" s="2">
        <v>90</v>
      </c>
      <c r="E7" s="2">
        <v>100</v>
      </c>
      <c r="F7" s="2">
        <v>110</v>
      </c>
      <c r="G7" s="2">
        <v>120</v>
      </c>
      <c r="H7" s="2">
        <v>130</v>
      </c>
    </row>
    <row r="8" spans="1:8" ht="18" customHeight="1" x14ac:dyDescent="0.25">
      <c r="C8" s="2" t="s">
        <v>10</v>
      </c>
      <c r="D8" s="2">
        <v>220</v>
      </c>
      <c r="E8" s="2">
        <v>230</v>
      </c>
      <c r="F8" s="2">
        <v>240</v>
      </c>
      <c r="G8" s="2">
        <v>250</v>
      </c>
      <c r="H8" s="2">
        <v>260</v>
      </c>
    </row>
    <row r="9" spans="1:8" ht="18" customHeight="1" x14ac:dyDescent="0.25">
      <c r="C9" s="2" t="s">
        <v>11</v>
      </c>
      <c r="D9" s="2">
        <v>130</v>
      </c>
      <c r="E9" s="2">
        <v>140</v>
      </c>
      <c r="F9" s="2">
        <v>150</v>
      </c>
      <c r="G9" s="2">
        <v>160</v>
      </c>
      <c r="H9" s="2">
        <v>170</v>
      </c>
    </row>
    <row r="12" spans="1:8" ht="18" customHeight="1" x14ac:dyDescent="0.25">
      <c r="E12" t="s">
        <v>0</v>
      </c>
      <c r="F12" t="s">
        <v>22</v>
      </c>
    </row>
    <row r="13" spans="1:8" ht="18" customHeight="1" x14ac:dyDescent="0.25">
      <c r="E13" t="s">
        <v>11</v>
      </c>
      <c r="F13">
        <f>MIN(D9:H9)</f>
        <v>130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EFE38-7408-4BC3-B616-01C35FA53F9E}">
  <dimension ref="A1:G13"/>
  <sheetViews>
    <sheetView tabSelected="1" workbookViewId="0">
      <selection activeCell="I15" sqref="I15"/>
    </sheetView>
  </sheetViews>
  <sheetFormatPr defaultColWidth="10.85546875" defaultRowHeight="18" customHeight="1" x14ac:dyDescent="0.25"/>
  <cols>
    <col min="6" max="6" width="11.42578125" customWidth="1"/>
  </cols>
  <sheetData>
    <row r="1" spans="1:7" ht="18" customHeight="1" x14ac:dyDescent="0.25">
      <c r="A1" s="3" t="s">
        <v>25</v>
      </c>
    </row>
    <row r="3" spans="1:7" ht="18" customHeight="1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8" customHeight="1" x14ac:dyDescent="0.25">
      <c r="B4" s="2" t="s">
        <v>6</v>
      </c>
      <c r="C4" s="2">
        <v>120</v>
      </c>
      <c r="D4" s="2">
        <v>130</v>
      </c>
      <c r="E4" s="2">
        <v>140</v>
      </c>
      <c r="F4" s="2">
        <v>150</v>
      </c>
      <c r="G4" s="2">
        <v>160</v>
      </c>
    </row>
    <row r="5" spans="1:7" ht="18" customHeight="1" x14ac:dyDescent="0.25">
      <c r="B5" s="2" t="s">
        <v>7</v>
      </c>
      <c r="C5" s="2">
        <v>150</v>
      </c>
      <c r="D5" s="2">
        <v>160</v>
      </c>
      <c r="E5" s="2">
        <v>170</v>
      </c>
      <c r="F5" s="2">
        <v>180</v>
      </c>
      <c r="G5" s="2">
        <v>190</v>
      </c>
    </row>
    <row r="6" spans="1:7" ht="18" customHeight="1" x14ac:dyDescent="0.25">
      <c r="B6" s="2" t="s">
        <v>8</v>
      </c>
      <c r="C6" s="2">
        <v>200</v>
      </c>
      <c r="D6" s="2">
        <v>210</v>
      </c>
      <c r="E6" s="2">
        <v>220</v>
      </c>
      <c r="F6" s="2">
        <v>230</v>
      </c>
      <c r="G6" s="2">
        <v>240</v>
      </c>
    </row>
    <row r="7" spans="1:7" ht="18" customHeight="1" x14ac:dyDescent="0.25">
      <c r="B7" s="2" t="s">
        <v>9</v>
      </c>
      <c r="C7" s="2">
        <v>90</v>
      </c>
      <c r="D7" s="2">
        <v>100</v>
      </c>
      <c r="E7" s="2">
        <v>110</v>
      </c>
      <c r="F7" s="2">
        <v>120</v>
      </c>
      <c r="G7" s="2">
        <v>130</v>
      </c>
    </row>
    <row r="8" spans="1:7" ht="18" customHeight="1" x14ac:dyDescent="0.25">
      <c r="B8" s="2" t="s">
        <v>10</v>
      </c>
      <c r="C8" s="2">
        <v>220</v>
      </c>
      <c r="D8" s="2">
        <v>230</v>
      </c>
      <c r="E8" s="2">
        <v>240</v>
      </c>
      <c r="F8" s="2">
        <v>250</v>
      </c>
      <c r="G8" s="2">
        <v>260</v>
      </c>
    </row>
    <row r="9" spans="1:7" ht="18" customHeight="1" x14ac:dyDescent="0.25">
      <c r="B9" s="2" t="s">
        <v>11</v>
      </c>
      <c r="C9" s="2">
        <v>130</v>
      </c>
      <c r="D9" s="2">
        <v>140</v>
      </c>
      <c r="E9" s="2">
        <v>150</v>
      </c>
      <c r="F9" s="2">
        <v>160</v>
      </c>
      <c r="G9" s="2">
        <v>170</v>
      </c>
    </row>
    <row r="12" spans="1:7" ht="18" customHeight="1" x14ac:dyDescent="0.25">
      <c r="E12" t="s">
        <v>0</v>
      </c>
      <c r="F12" t="s">
        <v>26</v>
      </c>
    </row>
    <row r="13" spans="1:7" ht="18" customHeight="1" x14ac:dyDescent="0.25">
      <c r="E13" t="s">
        <v>10</v>
      </c>
      <c r="F13">
        <f>AVERAGE(C8:G8)</f>
        <v>240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Questions</vt:lpstr>
      <vt:lpstr>Q1</vt:lpstr>
      <vt:lpstr>Q2</vt:lpstr>
      <vt:lpstr>Q3</vt:lpstr>
      <vt:lpstr>Q4</vt:lpstr>
      <vt:lpstr>Q5</vt:lpstr>
      <vt:lpstr>Q6</vt:lpstr>
      <vt:lpstr>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 Mane</dc:creator>
  <cp:lastModifiedBy>Kalyani Mane</cp:lastModifiedBy>
  <dcterms:created xsi:type="dcterms:W3CDTF">2024-09-30T12:12:04Z</dcterms:created>
  <dcterms:modified xsi:type="dcterms:W3CDTF">2024-10-01T07:21:35Z</dcterms:modified>
</cp:coreProperties>
</file>