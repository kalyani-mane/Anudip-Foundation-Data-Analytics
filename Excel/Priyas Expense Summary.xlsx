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https://d.docs.live.net/a70f4b51fff4dd32/Desktop/DA/Excel/"/>
    </mc:Choice>
  </mc:AlternateContent>
  <xr:revisionPtr revIDLastSave="0" documentId="8_{717DDB62-EC5C-4CA5-A0C1-F96852F8C868}" xr6:coauthVersionLast="47" xr6:coauthVersionMax="47" xr10:uidLastSave="{00000000-0000-0000-0000-000000000000}"/>
  <bookViews>
    <workbookView xWindow="-120" yWindow="-120" windowWidth="20730" windowHeight="11040" activeTab="8" xr2:uid="{00000000-000D-0000-FFFF-FFFF00000000}"/>
  </bookViews>
  <sheets>
    <sheet name="Tasks" sheetId="2" r:id="rId1"/>
    <sheet name="Expense" sheetId="1" r:id="rId2"/>
    <sheet name="Q1" sheetId="3" r:id="rId3"/>
    <sheet name="Q2" sheetId="4" r:id="rId4"/>
    <sheet name="Q3" sheetId="5" r:id="rId5"/>
    <sheet name="Q4" sheetId="9" r:id="rId6"/>
    <sheet name="Q5" sheetId="11" r:id="rId7"/>
    <sheet name="Q6" sheetId="6" r:id="rId8"/>
    <sheet name="Q7" sheetId="7" r:id="rId9"/>
    <sheet name="Q8" sheetId="8" r:id="rId10"/>
  </sheets>
  <definedNames>
    <definedName name="_xlnm._FilterDatabase" localSheetId="1" hidden="1">Expense!$A$1:$C$51</definedName>
    <definedName name="expense">Expense!$A$1:$C$51</definedName>
  </definedNames>
  <calcPr calcId="191029"/>
  <pivotCaches>
    <pivotCache cacheId="0" r:id="rId11"/>
    <pivotCache cacheId="1"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pense" name="expense" connection="WorksheetConnection_Priyas Expense Summary.xlsx!expens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7" l="1"/>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4" i="7"/>
  <c r="C5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BDEAE9-E85C-48A8-B60F-E96B3F9485C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A52F8AB-BB8F-45E9-8578-156EDACA81BC}" name="WorksheetConnection_Priyas Expense Summary.xlsx!expense" type="102" refreshedVersion="8" minRefreshableVersion="5">
    <extLst>
      <ext xmlns:x15="http://schemas.microsoft.com/office/spreadsheetml/2010/11/main" uri="{DE250136-89BD-433C-8126-D09CA5730AF9}">
        <x15:connection id="expense" autoDelete="1">
          <x15:rangePr sourceName="expense"/>
        </x15:connection>
      </ext>
    </extLst>
  </connection>
</connections>
</file>

<file path=xl/sharedStrings.xml><?xml version="1.0" encoding="utf-8"?>
<sst xmlns="http://schemas.openxmlformats.org/spreadsheetml/2006/main" count="427" uniqueCount="81">
  <si>
    <t>Date</t>
  </si>
  <si>
    <t>Expense</t>
  </si>
  <si>
    <t>Medicine</t>
  </si>
  <si>
    <t>Online shopping</t>
  </si>
  <si>
    <t>Other essential items</t>
  </si>
  <si>
    <t>Vegetables &amp; Fruit</t>
  </si>
  <si>
    <t>Fish &amp; Chicken</t>
  </si>
  <si>
    <t>Ordering food</t>
  </si>
  <si>
    <t>Movie with friends</t>
  </si>
  <si>
    <t>Cab to office</t>
  </si>
  <si>
    <t>Gifts</t>
  </si>
  <si>
    <t>Mobile Bill Payment</t>
  </si>
  <si>
    <t>Trip</t>
  </si>
  <si>
    <t>Online Shopping</t>
  </si>
  <si>
    <t>Items</t>
  </si>
  <si>
    <t>How many times has Priya done transactions on online shopping, ordering food and gifts?</t>
  </si>
  <si>
    <t>Calculate the total expenses against each distinct item.</t>
  </si>
  <si>
    <t>Arrange the item-wise total expense in descending order.</t>
  </si>
  <si>
    <t>Present the item-wise total expense through a chart that shows the expense of each item as a percentage of the total expense. Don’t take trip expenses into consideration.</t>
  </si>
  <si>
    <t>Present the expense pattern visually over 3 months.</t>
  </si>
  <si>
    <t>Add a new column to the data table, name it as “Category” and apply data validation with drop-down fields as “Essentials” and “Non-essentials”. Fill in the column.</t>
  </si>
  <si>
    <t>Add another new column and name it as “Cost Type”. For each item, if the expense is more than 2000, tag it as “Over budget”, else, tag it as “Within budget”.</t>
  </si>
  <si>
    <t>Mention the ways how Priya can reduce her expenses. Justify each point.</t>
  </si>
  <si>
    <t>Task to Perform</t>
  </si>
  <si>
    <t>Q.1 How many times has Priya done transactions on online shopping, ordering food and gifts?</t>
  </si>
  <si>
    <t>Row Labels</t>
  </si>
  <si>
    <t>Grand Total</t>
  </si>
  <si>
    <t>Sum of Expense</t>
  </si>
  <si>
    <t>Count of Expense</t>
  </si>
  <si>
    <t>Q.2 Calculate the total expenses against each distinct item.</t>
  </si>
  <si>
    <t>Q7 Add another new column and name it as “Cost Type”. For each item, if the expense is more than 2000, tag it as “Over budget”, else, tag it as “Within budget”.</t>
  </si>
  <si>
    <t>Cost Type</t>
  </si>
  <si>
    <t>Q8 Mention the ways how Priya can reduce her expenses. Justify each point.</t>
  </si>
  <si>
    <t>Q3 Arrange the item-wise total expense in descending order.</t>
  </si>
  <si>
    <t>Q4.   Present the item-wise total expense through a chart that shows the expense of each item as a percentage of the total expense. Don’t take trip expenses into consideration.</t>
  </si>
  <si>
    <t>Category</t>
  </si>
  <si>
    <t>Q.6 Add a new column to the data table, name it as “Category” and apply data validation with drop-down fields as “Essentials” and “Non-essentials”. Fill in the column.</t>
  </si>
  <si>
    <t>Essential</t>
  </si>
  <si>
    <t>Non-Essential</t>
  </si>
  <si>
    <t>Q.5 Present the expense pattern visually over 3 months.</t>
  </si>
  <si>
    <t>01-Oct</t>
  </si>
  <si>
    <t>04-Oct</t>
  </si>
  <si>
    <t>07-Oct</t>
  </si>
  <si>
    <t>08-Oct</t>
  </si>
  <si>
    <t>15-Oct</t>
  </si>
  <si>
    <t>16-Oct</t>
  </si>
  <si>
    <t>18-Oct</t>
  </si>
  <si>
    <t>19-Oct</t>
  </si>
  <si>
    <t>22-Oct</t>
  </si>
  <si>
    <t>25-Oct</t>
  </si>
  <si>
    <t>27-Oct</t>
  </si>
  <si>
    <t>28-Oct</t>
  </si>
  <si>
    <t>29-Oct</t>
  </si>
  <si>
    <t>30-Oct</t>
  </si>
  <si>
    <t>01-Nov</t>
  </si>
  <si>
    <t>02-Nov</t>
  </si>
  <si>
    <t>04-Nov</t>
  </si>
  <si>
    <t>05-Nov</t>
  </si>
  <si>
    <t>08-Nov</t>
  </si>
  <si>
    <t>09-Nov</t>
  </si>
  <si>
    <t>12-Nov</t>
  </si>
  <si>
    <t>15-Nov</t>
  </si>
  <si>
    <t>17-Nov</t>
  </si>
  <si>
    <t>18-Nov</t>
  </si>
  <si>
    <t>19-Nov</t>
  </si>
  <si>
    <t>22-Nov</t>
  </si>
  <si>
    <t>24-Nov</t>
  </si>
  <si>
    <t>25-Nov</t>
  </si>
  <si>
    <t>26-Nov</t>
  </si>
  <si>
    <t>29-Nov</t>
  </si>
  <si>
    <t>30-Nov</t>
  </si>
  <si>
    <t>01-Dec</t>
  </si>
  <si>
    <t>04-Dec</t>
  </si>
  <si>
    <t>07-Dec</t>
  </si>
  <si>
    <t>09-Dec</t>
  </si>
  <si>
    <t>15-Dec</t>
  </si>
  <si>
    <t>17-Dec</t>
  </si>
  <si>
    <t>20-Dec</t>
  </si>
  <si>
    <t>23-Dec</t>
  </si>
  <si>
    <t>Priya should minimize her non-essential expenses such as ordering food, gifts,online shopping.</t>
  </si>
  <si>
    <t>she should start saving instead of making more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</si>
</sst>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Calibri"/>
      <family val="2"/>
      <scheme val="minor"/>
    </font>
    <font>
      <b/>
      <sz val="11"/>
      <color rgb="FF003F81"/>
      <name val="Verdana"/>
      <family val="2"/>
    </font>
    <font>
      <sz val="11"/>
      <color rgb="FF000000"/>
      <name val="Verdana"/>
      <family val="2"/>
    </font>
    <font>
      <sz val="24"/>
      <color theme="1"/>
      <name val="Calibri"/>
      <family val="2"/>
      <scheme val="minor"/>
    </font>
    <font>
      <b/>
      <sz val="11"/>
      <color theme="1"/>
      <name val="Calibri"/>
      <family val="2"/>
      <scheme val="minor"/>
    </font>
    <font>
      <b/>
      <sz val="11"/>
      <color theme="8" tint="-0.499984740745262"/>
      <name val="Verdana"/>
      <family val="2"/>
    </font>
  </fonts>
  <fills count="6">
    <fill>
      <patternFill patternType="none"/>
    </fill>
    <fill>
      <patternFill patternType="gray125"/>
    </fill>
    <fill>
      <patternFill patternType="solid">
        <fgColor rgb="FFFFFFFF"/>
        <bgColor indexed="64"/>
      </patternFill>
    </fill>
    <fill>
      <patternFill patternType="solid">
        <fgColor rgb="FFF7F6F6"/>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applyAlignment="1">
      <alignment vertical="center"/>
    </xf>
    <xf numFmtId="0" fontId="4" fillId="0" borderId="0" xfId="0" applyFont="1" applyAlignment="1">
      <alignment vertical="center"/>
    </xf>
    <xf numFmtId="0" fontId="2"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2" borderId="1" xfId="0" applyFont="1" applyFill="1" applyBorder="1" applyAlignment="1">
      <alignment vertical="center" wrapText="1"/>
    </xf>
    <xf numFmtId="14" fontId="3" fillId="3" borderId="1" xfId="0" applyNumberFormat="1" applyFont="1" applyFill="1" applyBorder="1" applyAlignment="1">
      <alignment horizontal="center" vertical="center" wrapText="1"/>
    </xf>
    <xf numFmtId="0" fontId="3" fillId="3" borderId="1" xfId="0" applyFont="1" applyFill="1" applyBorder="1" applyAlignment="1">
      <alignment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right" vertical="center" wrapText="1"/>
    </xf>
    <xf numFmtId="4" fontId="3" fillId="4" borderId="1" xfId="0" applyNumberFormat="1" applyFont="1" applyFill="1" applyBorder="1" applyAlignment="1">
      <alignment horizontal="right" vertical="center" wrapText="1"/>
    </xf>
    <xf numFmtId="0" fontId="0" fillId="4" borderId="0" xfId="0" applyFill="1" applyAlignment="1">
      <alignment horizontal="right"/>
    </xf>
    <xf numFmtId="0" fontId="5" fillId="5" borderId="1" xfId="0" applyFont="1" applyFill="1" applyBorder="1" applyAlignment="1">
      <alignment horizontal="center"/>
    </xf>
    <xf numFmtId="0" fontId="0" fillId="0" borderId="1" xfId="0" applyBorder="1" applyAlignment="1">
      <alignment vertical="center" wrapText="1"/>
    </xf>
    <xf numFmtId="0" fontId="0" fillId="0" borderId="0" xfId="0" pivotButton="1"/>
    <xf numFmtId="0" fontId="0" fillId="0" borderId="0" xfId="0" applyAlignment="1">
      <alignment horizontal="left"/>
    </xf>
    <xf numFmtId="0" fontId="6" fillId="0" borderId="0" xfId="0" applyFont="1"/>
  </cellXfs>
  <cellStyles count="1">
    <cellStyle name="Normal" xfId="0" builtinId="0"/>
  </cellStyles>
  <dxfs count="3">
    <dxf>
      <font>
        <b val="0"/>
        <i val="0"/>
        <strike val="0"/>
        <condense val="0"/>
        <extend val="0"/>
        <outline val="0"/>
        <shadow val="0"/>
        <u val="none"/>
        <vertAlign val="baseline"/>
        <sz val="11"/>
        <color rgb="FF000000"/>
        <name val="Verdana"/>
        <family val="2"/>
        <scheme val="none"/>
      </font>
      <fill>
        <patternFill patternType="solid">
          <fgColor indexed="64"/>
          <bgColor theme="0"/>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Verdana"/>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Verdana"/>
        <family val="2"/>
        <scheme val="none"/>
      </font>
      <numFmt numFmtId="19" formatCode="dd/mm/yyyy"/>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[Priyas Expense Summary.xlsx]Q4!PivotTable31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'Q4'!$H$7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DBF-4976-8AC5-DC67F9EC440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DBF-4976-8AC5-DC67F9EC440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DBF-4976-8AC5-DC67F9EC440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DBF-4976-8AC5-DC67F9EC4404}"/>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DBF-4976-8AC5-DC67F9EC4404}"/>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8DBF-4976-8AC5-DC67F9EC4404}"/>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8DBF-4976-8AC5-DC67F9EC4404}"/>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8DBF-4976-8AC5-DC67F9EC4404}"/>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8DBF-4976-8AC5-DC67F9EC4404}"/>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8DBF-4976-8AC5-DC67F9EC440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'Q4'!$G$8:$G$18</c:f>
              <c:strCache>
                <c:ptCount val="10"/>
                <c:pt idx="0">
                  <c:v>Cab to office</c:v>
                </c:pt>
                <c:pt idx="1">
                  <c:v>Fish &amp; Chicken</c:v>
                </c:pt>
                <c:pt idx="2">
                  <c:v>Gifts</c:v>
                </c:pt>
                <c:pt idx="3">
                  <c:v>Medicine</c:v>
                </c:pt>
                <c:pt idx="4">
                  <c:v>Mobile Bill Payment</c:v>
                </c:pt>
                <c:pt idx="5">
                  <c:v>Movie with friends</c:v>
                </c:pt>
                <c:pt idx="6">
                  <c:v>Online shopping</c:v>
                </c:pt>
                <c:pt idx="7">
                  <c:v>Ordering food</c:v>
                </c:pt>
                <c:pt idx="8">
                  <c:v>Other essential items</c:v>
                </c:pt>
                <c:pt idx="9">
                  <c:v>Vegetables &amp; Fruit</c:v>
                </c:pt>
              </c:strCache>
            </c:strRef>
          </c:cat>
          <c:val>
            <c:numRef>
              <c:f>'Q4'!$H$8:$H$18</c:f>
              <c:numCache>
                <c:formatCode>General</c:formatCode>
                <c:ptCount val="10"/>
                <c:pt idx="0">
                  <c:v>1510.9099999999999</c:v>
                </c:pt>
                <c:pt idx="1">
                  <c:v>3342</c:v>
                </c:pt>
                <c:pt idx="2">
                  <c:v>5688</c:v>
                </c:pt>
                <c:pt idx="3">
                  <c:v>7775</c:v>
                </c:pt>
                <c:pt idx="4">
                  <c:v>1411.26</c:v>
                </c:pt>
                <c:pt idx="5">
                  <c:v>2586</c:v>
                </c:pt>
                <c:pt idx="6">
                  <c:v>7464</c:v>
                </c:pt>
                <c:pt idx="7">
                  <c:v>1857</c:v>
                </c:pt>
                <c:pt idx="8">
                  <c:v>10194.1</c:v>
                </c:pt>
                <c:pt idx="9">
                  <c:v>3217</c:v>
                </c:pt>
              </c:numCache>
            </c:numRef>
          </c:val>
          <c:extLst>
            <c:ext xmlns:c16="http://schemas.microsoft.com/office/drawing/2014/chart" uri="{C3380CC4-5D6E-409C-BE32-E72D297353CC}">
              <c16:uniqueId val="{00000000-B2C1-4FE9-98BD-C3741FA793E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[Priyas Expense Summary.xlsx]Q5!PivotTable37</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2">
              <a:lumMod val="40000"/>
              <a:lumOff val="60000"/>
            </a:schemeClr>
          </a:solidFill>
          <a:round/>
        </a:ln>
        <a:effectLst/>
        <a:sp3d contourW="9525">
          <a:contourClr>
            <a:schemeClr val="tx2">
              <a:lumMod val="40000"/>
              <a:lumOff val="6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'Q5'!$G$5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cat>
            <c:strRef>
              <c:f>'Q5'!$F$6:$F$45</c:f>
              <c:strCache>
                <c:ptCount val="39"/>
                <c:pt idx="0">
                  <c:v>01-Oct</c:v>
                </c:pt>
                <c:pt idx="1">
                  <c:v>04-Oct</c:v>
                </c:pt>
                <c:pt idx="2">
                  <c:v>07-Oct</c:v>
                </c:pt>
                <c:pt idx="3">
                  <c:v>08-Oct</c:v>
                </c:pt>
                <c:pt idx="4">
                  <c:v>15-Oct</c:v>
                </c:pt>
                <c:pt idx="5">
                  <c:v>16-Oct</c:v>
                </c:pt>
                <c:pt idx="6">
                  <c:v>18-Oct</c:v>
                </c:pt>
                <c:pt idx="7">
                  <c:v>19-Oct</c:v>
                </c:pt>
                <c:pt idx="8">
                  <c:v>22-Oct</c:v>
                </c:pt>
                <c:pt idx="9">
                  <c:v>25-Oct</c:v>
                </c:pt>
                <c:pt idx="10">
                  <c:v>27-Oct</c:v>
                </c:pt>
                <c:pt idx="11">
                  <c:v>28-Oct</c:v>
                </c:pt>
                <c:pt idx="12">
                  <c:v>29-Oct</c:v>
                </c:pt>
                <c:pt idx="13">
                  <c:v>30-Oct</c:v>
                </c:pt>
                <c:pt idx="14">
                  <c:v>01-Nov</c:v>
                </c:pt>
                <c:pt idx="15">
                  <c:v>02-Nov</c:v>
                </c:pt>
                <c:pt idx="16">
                  <c:v>04-Nov</c:v>
                </c:pt>
                <c:pt idx="17">
                  <c:v>05-Nov</c:v>
                </c:pt>
                <c:pt idx="18">
                  <c:v>08-Nov</c:v>
                </c:pt>
                <c:pt idx="19">
                  <c:v>09-Nov</c:v>
                </c:pt>
                <c:pt idx="20">
                  <c:v>12-Nov</c:v>
                </c:pt>
                <c:pt idx="21">
                  <c:v>15-Nov</c:v>
                </c:pt>
                <c:pt idx="22">
                  <c:v>17-Nov</c:v>
                </c:pt>
                <c:pt idx="23">
                  <c:v>18-Nov</c:v>
                </c:pt>
                <c:pt idx="24">
                  <c:v>19-Nov</c:v>
                </c:pt>
                <c:pt idx="25">
                  <c:v>22-Nov</c:v>
                </c:pt>
                <c:pt idx="26">
                  <c:v>24-Nov</c:v>
                </c:pt>
                <c:pt idx="27">
                  <c:v>25-Nov</c:v>
                </c:pt>
                <c:pt idx="28">
                  <c:v>26-Nov</c:v>
                </c:pt>
                <c:pt idx="29">
                  <c:v>29-Nov</c:v>
                </c:pt>
                <c:pt idx="30">
                  <c:v>30-Nov</c:v>
                </c:pt>
                <c:pt idx="31">
                  <c:v>01-Dec</c:v>
                </c:pt>
                <c:pt idx="32">
                  <c:v>04-Dec</c:v>
                </c:pt>
                <c:pt idx="33">
                  <c:v>07-Dec</c:v>
                </c:pt>
                <c:pt idx="34">
                  <c:v>09-Dec</c:v>
                </c:pt>
                <c:pt idx="35">
                  <c:v>15-Dec</c:v>
                </c:pt>
                <c:pt idx="36">
                  <c:v>17-Dec</c:v>
                </c:pt>
                <c:pt idx="37">
                  <c:v>20-Dec</c:v>
                </c:pt>
                <c:pt idx="38">
                  <c:v>23-Dec</c:v>
                </c:pt>
              </c:strCache>
            </c:strRef>
          </c:cat>
          <c:val>
            <c:numRef>
              <c:f>'Q5'!$G$6:$G$45</c:f>
              <c:numCache>
                <c:formatCode>General</c:formatCode>
                <c:ptCount val="39"/>
                <c:pt idx="0">
                  <c:v>5567</c:v>
                </c:pt>
                <c:pt idx="1">
                  <c:v>1470</c:v>
                </c:pt>
                <c:pt idx="2">
                  <c:v>1900</c:v>
                </c:pt>
                <c:pt idx="3">
                  <c:v>450</c:v>
                </c:pt>
                <c:pt idx="4">
                  <c:v>620</c:v>
                </c:pt>
                <c:pt idx="5">
                  <c:v>470</c:v>
                </c:pt>
                <c:pt idx="6">
                  <c:v>2045</c:v>
                </c:pt>
                <c:pt idx="7">
                  <c:v>489</c:v>
                </c:pt>
                <c:pt idx="8">
                  <c:v>2124.1</c:v>
                </c:pt>
                <c:pt idx="9">
                  <c:v>423</c:v>
                </c:pt>
                <c:pt idx="10">
                  <c:v>878.22</c:v>
                </c:pt>
                <c:pt idx="11">
                  <c:v>300</c:v>
                </c:pt>
                <c:pt idx="12">
                  <c:v>407.05</c:v>
                </c:pt>
                <c:pt idx="13">
                  <c:v>300</c:v>
                </c:pt>
                <c:pt idx="14">
                  <c:v>2327</c:v>
                </c:pt>
                <c:pt idx="15">
                  <c:v>1150</c:v>
                </c:pt>
                <c:pt idx="16">
                  <c:v>1138</c:v>
                </c:pt>
                <c:pt idx="17">
                  <c:v>500</c:v>
                </c:pt>
                <c:pt idx="18">
                  <c:v>702</c:v>
                </c:pt>
                <c:pt idx="19">
                  <c:v>1600</c:v>
                </c:pt>
                <c:pt idx="20">
                  <c:v>600</c:v>
                </c:pt>
                <c:pt idx="21">
                  <c:v>3150</c:v>
                </c:pt>
                <c:pt idx="22">
                  <c:v>793.27</c:v>
                </c:pt>
                <c:pt idx="23">
                  <c:v>428</c:v>
                </c:pt>
                <c:pt idx="24">
                  <c:v>447</c:v>
                </c:pt>
                <c:pt idx="25">
                  <c:v>1720</c:v>
                </c:pt>
                <c:pt idx="26">
                  <c:v>540</c:v>
                </c:pt>
                <c:pt idx="27">
                  <c:v>314</c:v>
                </c:pt>
                <c:pt idx="28">
                  <c:v>2518</c:v>
                </c:pt>
                <c:pt idx="29">
                  <c:v>337</c:v>
                </c:pt>
                <c:pt idx="30">
                  <c:v>500</c:v>
                </c:pt>
                <c:pt idx="31">
                  <c:v>2500</c:v>
                </c:pt>
                <c:pt idx="32">
                  <c:v>710</c:v>
                </c:pt>
                <c:pt idx="33">
                  <c:v>2300</c:v>
                </c:pt>
                <c:pt idx="34">
                  <c:v>12000</c:v>
                </c:pt>
                <c:pt idx="35">
                  <c:v>1500</c:v>
                </c:pt>
                <c:pt idx="36">
                  <c:v>470.63</c:v>
                </c:pt>
                <c:pt idx="37">
                  <c:v>267</c:v>
                </c:pt>
                <c:pt idx="38">
                  <c:v>1090</c:v>
                </c:pt>
              </c:numCache>
            </c:numRef>
          </c:val>
          <c:extLst>
            <c:ext xmlns:c16="http://schemas.microsoft.com/office/drawing/2014/chart" uri="{C3380CC4-5D6E-409C-BE32-E72D297353CC}">
              <c16:uniqueId val="{00000000-23DF-4B3A-AB3B-E830AA8D3011}"/>
            </c:ext>
          </c:extLst>
        </c:ser>
        <c:dLbls>
          <c:showLegendKey val="0"/>
          <c:showVal val="0"/>
          <c:showCatName val="0"/>
          <c:showSerName val="0"/>
          <c:showPercent val="0"/>
          <c:showBubbleSize val="0"/>
        </c:dLbls>
        <c:axId val="2000848"/>
        <c:axId val="2005648"/>
        <c:axId val="2024021424"/>
      </c:area3DChart>
      <c:catAx>
        <c:axId val="200084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5648"/>
        <c:crosses val="autoZero"/>
        <c:auto val="1"/>
        <c:lblAlgn val="ctr"/>
        <c:lblOffset val="100"/>
        <c:noMultiLvlLbl val="0"/>
      </c:catAx>
      <c:valAx>
        <c:axId val="200564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0848"/>
        <c:crosses val="autoZero"/>
        <c:crossBetween val="midCat"/>
      </c:valAx>
      <c:serAx>
        <c:axId val="2024021424"/>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564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232170</xdr:colOff>
      <xdr:row>5</xdr:row>
      <xdr:rowOff>51197</xdr:rowOff>
    </xdr:from>
    <xdr:to>
      <xdr:col>17</xdr:col>
      <xdr:colOff>309561</xdr:colOff>
      <xdr:row>19</xdr:row>
      <xdr:rowOff>47625</xdr:rowOff>
    </xdr:to>
    <xdr:graphicFrame macro="">
      <xdr:nvGraphicFramePr>
        <xdr:cNvPr id="4" name="Chart 3">
          <a:extLst>
            <a:ext uri="{FF2B5EF4-FFF2-40B4-BE49-F238E27FC236}">
              <a16:creationId xmlns:a16="http://schemas.microsoft.com/office/drawing/2014/main" id="{808BE819-8D86-234A-CB20-376B256C0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238125</xdr:colOff>
      <xdr:row>5</xdr:row>
      <xdr:rowOff>52387</xdr:rowOff>
    </xdr:from>
    <xdr:to>
      <xdr:col>11</xdr:col>
      <xdr:colOff>619125</xdr:colOff>
      <xdr:row>17</xdr:row>
      <xdr:rowOff>52387</xdr:rowOff>
    </xdr:to>
    <xdr:graphicFrame macro="">
      <xdr:nvGraphicFramePr>
        <xdr:cNvPr id="2" name="Chart 1">
          <a:extLst>
            <a:ext uri="{FF2B5EF4-FFF2-40B4-BE49-F238E27FC236}">
              <a16:creationId xmlns:a16="http://schemas.microsoft.com/office/drawing/2014/main" id="{568B04AB-F71E-2059-A04A-EFBBF4A21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yani Mane" refreshedDate="45546.651621990743" createdVersion="8" refreshedVersion="8" minRefreshableVersion="3" recordCount="50" xr:uid="{A53FB4BE-700D-45FF-B8C4-F91E152B7122}">
  <cacheSource type="worksheet">
    <worksheetSource name="expense"/>
  </cacheSource>
  <cacheFields count="5">
    <cacheField name="Date" numFmtId="14">
      <sharedItems containsSemiMixedTypes="0" containsNonDate="0" containsDate="1" containsString="0" minDate="2021-10-01T00:00:00" maxDate="2021-12-24T00:00:00" count="39">
        <d v="2021-10-01T00:00:00"/>
        <d v="2021-10-04T00:00:00"/>
        <d v="2021-10-07T00:00:00"/>
        <d v="2021-10-08T00:00:00"/>
        <d v="2021-10-15T00:00:00"/>
        <d v="2021-10-16T00:00:00"/>
        <d v="2021-10-18T00:00:00"/>
        <d v="2021-10-19T00:00:00"/>
        <d v="2021-10-22T00:00:00"/>
        <d v="2021-10-25T00:00:00"/>
        <d v="2021-10-27T00:00:00"/>
        <d v="2021-10-28T00:00:00"/>
        <d v="2021-10-29T00:00:00"/>
        <d v="2021-10-30T00:00:00"/>
        <d v="2021-11-01T00:00:00"/>
        <d v="2021-11-02T00:00:00"/>
        <d v="2021-11-04T00:00:00"/>
        <d v="2021-11-05T00:00:00"/>
        <d v="2021-11-08T00:00:00"/>
        <d v="2021-11-09T00:00:00"/>
        <d v="2021-11-12T00:00:00"/>
        <d v="2021-11-15T00:00:00"/>
        <d v="2021-11-17T00:00:00"/>
        <d v="2021-11-18T00:00:00"/>
        <d v="2021-11-19T00:00:00"/>
        <d v="2021-11-22T00:00:00"/>
        <d v="2021-11-24T00:00:00"/>
        <d v="2021-11-25T00:00:00"/>
        <d v="2021-11-26T00:00:00"/>
        <d v="2021-11-29T00:00:00"/>
        <d v="2021-11-30T00:00:00"/>
        <d v="2021-12-01T00:00:00"/>
        <d v="2021-12-04T00:00:00"/>
        <d v="2021-12-07T00:00:00"/>
        <d v="2021-12-09T00:00:00"/>
        <d v="2021-12-15T00:00:00"/>
        <d v="2021-12-17T00:00:00"/>
        <d v="2021-12-20T00:00:00"/>
        <d v="2021-12-23T00:00:00"/>
      </sharedItems>
      <fieldGroup par="4"/>
    </cacheField>
    <cacheField name="Items" numFmtId="0">
      <sharedItems count="11">
        <s v="Medicine"/>
        <s v="Online shopping"/>
        <s v="Other essential items"/>
        <s v="Vegetables &amp; Fruit"/>
        <s v="Fish &amp; Chicken"/>
        <s v="Gifts"/>
        <s v="Ordering food"/>
        <s v="Movie with friends"/>
        <s v="Mobile Bill Payment"/>
        <s v="Cab to office"/>
        <s v="Trip"/>
      </sharedItems>
    </cacheField>
    <cacheField name="Expense" numFmtId="0">
      <sharedItems containsSemiMixedTypes="0" containsString="0" containsNumber="1" minValue="150" maxValue="12000" count="43">
        <n v="2300"/>
        <n v="767"/>
        <n v="2500"/>
        <n v="710"/>
        <n v="760"/>
        <n v="1900"/>
        <n v="450"/>
        <n v="620"/>
        <n v="470"/>
        <n v="970"/>
        <n v="1075"/>
        <n v="489"/>
        <n v="1574.1"/>
        <n v="550"/>
        <n v="423"/>
        <n v="358.22"/>
        <n v="520"/>
        <n v="300"/>
        <n v="407.05"/>
        <n v="2327"/>
        <n v="1150"/>
        <n v="1138"/>
        <n v="500"/>
        <n v="702"/>
        <n v="1600"/>
        <n v="600"/>
        <n v="900"/>
        <n v="150"/>
        <n v="2100"/>
        <n v="470.63"/>
        <n v="322.64"/>
        <n v="428"/>
        <n v="447"/>
        <n v="1720"/>
        <n v="540"/>
        <n v="314"/>
        <n v="518"/>
        <n v="2000"/>
        <n v="337"/>
        <n v="12000"/>
        <n v="1500"/>
        <n v="267"/>
        <n v="640"/>
      </sharedItems>
    </cacheField>
    <cacheField name="Days (Date)" numFmtId="0" databaseField="0">
      <fieldGroup base="0">
        <rangePr groupBy="days" startDate="2021-10-01T00:00:00" endDate="2021-12-24T00:00:00"/>
        <groupItems count="368">
          <s v="&lt;01-10-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4-12-2021"/>
        </groupItems>
      </fieldGroup>
    </cacheField>
    <cacheField name="Months (Date)" numFmtId="0" databaseField="0">
      <fieldGroup base="0">
        <rangePr groupBy="months" startDate="2021-10-01T00:00:00" endDate="2021-12-24T00:00:00"/>
        <groupItems count="14">
          <s v="&lt;01-10-2021"/>
          <s v="Jan"/>
          <s v="Feb"/>
          <s v="Mar"/>
          <s v="Apr"/>
          <s v="May"/>
          <s v="Jun"/>
          <s v="Jul"/>
          <s v="Aug"/>
          <s v="Sep"/>
          <s v="Oct"/>
          <s v="Nov"/>
          <s v="Dec"/>
          <s v="&gt;24-12-202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Mane" refreshedDate="45546.677201851853" backgroundQuery="1" createdVersion="8" refreshedVersion="8" minRefreshableVersion="3" recordCount="0" supportSubquery="1" supportAdvancedDrill="1" xr:uid="{60BC706D-CEF1-472B-ABB1-C4C9668ECAB4}">
  <cacheSource type="external" connectionId="1"/>
  <cacheFields count="2">
    <cacheField name="[expense].[Items].[Items]" caption="Items" numFmtId="0" hierarchy="1" level="1">
      <sharedItems count="11">
        <s v="Cab to office"/>
        <s v="Fish &amp; Chicken"/>
        <s v="Gifts"/>
        <s v="Medicine"/>
        <s v="Mobile Bill Payment"/>
        <s v="Movie with friends"/>
        <s v="Online shopping"/>
        <s v="Ordering food"/>
        <s v="Other essential items"/>
        <s v="Trip"/>
        <s v="Vegetables &amp; Fruit"/>
      </sharedItems>
    </cacheField>
    <cacheField name="[Measures].[Sum of Expense]" caption="Sum of Expense" numFmtId="0" hierarchy="5" level="32767"/>
  </cacheFields>
  <cacheHierarchies count="6">
    <cacheHierarchy uniqueName="[expense].[Date]" caption="Date" attribute="1" time="1" defaultMemberUniqueName="[expense].[Date].[All]" allUniqueName="[expense].[Date].[All]" dimensionUniqueName="[expense]" displayFolder="" count="0" memberValueDatatype="7" unbalanced="0"/>
    <cacheHierarchy uniqueName="[expense].[Items]" caption="Items" attribute="1" defaultMemberUniqueName="[expense].[Items].[All]" allUniqueName="[expense].[Items].[All]" dimensionUniqueName="[expense]" displayFolder="" count="2" memberValueDatatype="130" unbalanced="0">
      <fieldsUsage count="2">
        <fieldUsage x="-1"/>
        <fieldUsage x="0"/>
      </fieldsUsage>
    </cacheHierarchy>
    <cacheHierarchy uniqueName="[expense].[Expense]" caption="Expense" attribute="1" defaultMemberUniqueName="[expense].[Expense].[All]" allUniqueName="[expense].[Expense].[All]" dimensionUniqueName="[expense]" displayFolder="" count="2" memberValueDatatype="5" unbalanced="0"/>
    <cacheHierarchy uniqueName="[Measures].[__XL_Count expense]" caption="__XL_Count expense" measure="1" displayFolder="" measureGroup="expense" count="0" hidden="1"/>
    <cacheHierarchy uniqueName="[Measures].[__No measures defined]" caption="__No measures defined" measure="1" displayFolder="" count="0" hidden="1"/>
    <cacheHierarchy uniqueName="[Measures].[Sum of Expense]" caption="Sum of Expense" measure="1" displayFolder="" measureGroup="expense"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name="expense" uniqueName="[expense]" caption="expense"/>
    <dimension measure="1" name="Measures" uniqueName="[Measures]" caption="Measures"/>
  </dimensions>
  <measureGroups count="1">
    <measureGroup name="expense" caption="expens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r>
  <r>
    <x v="0"/>
    <x v="1"/>
    <x v="1"/>
  </r>
  <r>
    <x v="0"/>
    <x v="2"/>
    <x v="2"/>
  </r>
  <r>
    <x v="1"/>
    <x v="3"/>
    <x v="3"/>
  </r>
  <r>
    <x v="1"/>
    <x v="4"/>
    <x v="4"/>
  </r>
  <r>
    <x v="2"/>
    <x v="5"/>
    <x v="5"/>
  </r>
  <r>
    <x v="3"/>
    <x v="6"/>
    <x v="6"/>
  </r>
  <r>
    <x v="4"/>
    <x v="7"/>
    <x v="7"/>
  </r>
  <r>
    <x v="5"/>
    <x v="8"/>
    <x v="8"/>
  </r>
  <r>
    <x v="6"/>
    <x v="1"/>
    <x v="9"/>
  </r>
  <r>
    <x v="6"/>
    <x v="0"/>
    <x v="10"/>
  </r>
  <r>
    <x v="7"/>
    <x v="6"/>
    <x v="11"/>
  </r>
  <r>
    <x v="8"/>
    <x v="2"/>
    <x v="12"/>
  </r>
  <r>
    <x v="8"/>
    <x v="4"/>
    <x v="13"/>
  </r>
  <r>
    <x v="9"/>
    <x v="9"/>
    <x v="14"/>
  </r>
  <r>
    <x v="10"/>
    <x v="9"/>
    <x v="15"/>
  </r>
  <r>
    <x v="10"/>
    <x v="7"/>
    <x v="16"/>
  </r>
  <r>
    <x v="11"/>
    <x v="3"/>
    <x v="17"/>
  </r>
  <r>
    <x v="12"/>
    <x v="9"/>
    <x v="18"/>
  </r>
  <r>
    <x v="13"/>
    <x v="2"/>
    <x v="17"/>
  </r>
  <r>
    <x v="14"/>
    <x v="1"/>
    <x v="19"/>
  </r>
  <r>
    <x v="15"/>
    <x v="5"/>
    <x v="20"/>
  </r>
  <r>
    <x v="16"/>
    <x v="5"/>
    <x v="21"/>
  </r>
  <r>
    <x v="17"/>
    <x v="1"/>
    <x v="22"/>
  </r>
  <r>
    <x v="18"/>
    <x v="4"/>
    <x v="23"/>
  </r>
  <r>
    <x v="19"/>
    <x v="2"/>
    <x v="24"/>
  </r>
  <r>
    <x v="20"/>
    <x v="3"/>
    <x v="25"/>
  </r>
  <r>
    <x v="21"/>
    <x v="1"/>
    <x v="26"/>
  </r>
  <r>
    <x v="21"/>
    <x v="4"/>
    <x v="27"/>
  </r>
  <r>
    <x v="21"/>
    <x v="0"/>
    <x v="28"/>
  </r>
  <r>
    <x v="22"/>
    <x v="8"/>
    <x v="29"/>
  </r>
  <r>
    <x v="22"/>
    <x v="9"/>
    <x v="30"/>
  </r>
  <r>
    <x v="23"/>
    <x v="7"/>
    <x v="31"/>
  </r>
  <r>
    <x v="24"/>
    <x v="3"/>
    <x v="32"/>
  </r>
  <r>
    <x v="25"/>
    <x v="2"/>
    <x v="33"/>
  </r>
  <r>
    <x v="26"/>
    <x v="4"/>
    <x v="34"/>
  </r>
  <r>
    <x v="27"/>
    <x v="6"/>
    <x v="35"/>
  </r>
  <r>
    <x v="28"/>
    <x v="7"/>
    <x v="36"/>
  </r>
  <r>
    <x v="28"/>
    <x v="1"/>
    <x v="37"/>
  </r>
  <r>
    <x v="29"/>
    <x v="6"/>
    <x v="38"/>
  </r>
  <r>
    <x v="30"/>
    <x v="7"/>
    <x v="22"/>
  </r>
  <r>
    <x v="31"/>
    <x v="2"/>
    <x v="2"/>
  </r>
  <r>
    <x v="32"/>
    <x v="3"/>
    <x v="3"/>
  </r>
  <r>
    <x v="33"/>
    <x v="0"/>
    <x v="0"/>
  </r>
  <r>
    <x v="34"/>
    <x v="10"/>
    <x v="39"/>
  </r>
  <r>
    <x v="35"/>
    <x v="5"/>
    <x v="40"/>
  </r>
  <r>
    <x v="36"/>
    <x v="8"/>
    <x v="29"/>
  </r>
  <r>
    <x v="37"/>
    <x v="6"/>
    <x v="41"/>
  </r>
  <r>
    <x v="38"/>
    <x v="4"/>
    <x v="42"/>
  </r>
  <r>
    <x v="38"/>
    <x v="3"/>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F60823-4F37-477A-936D-A1F1958A541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8" firstHeaderRow="1" firstDataRow="1" firstDataCol="1"/>
  <pivotFields count="5">
    <pivotField numFmtId="14"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axis="axisRow" showAll="0">
      <items count="12">
        <item h="1" x="9"/>
        <item h="1" x="4"/>
        <item x="5"/>
        <item h="1" x="0"/>
        <item h="1" x="8"/>
        <item h="1" x="7"/>
        <item x="1"/>
        <item x="6"/>
        <item h="1" x="2"/>
        <item h="1" x="10"/>
        <item h="1" x="3"/>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v="2"/>
    </i>
    <i>
      <x v="6"/>
    </i>
    <i>
      <x v="7"/>
    </i>
    <i t="grand">
      <x/>
    </i>
  </rowItems>
  <colItems count="1">
    <i/>
  </colItems>
  <dataFields count="1">
    <dataField name="Count of Expense" fld="2"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FE68CD-1881-49C7-8855-19ACB599A393}" name="PivotTable2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C15"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Sum of Expense" fld="1" baseField="0" baseItem="0"/>
  </dataFields>
  <pivotHierarchies count="6">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iyas Expense Summary.xlsx!expense">
        <x15:activeTabTopLevelEntity name="[expen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23F87B-5CEB-4519-8941-AA9126CDB1E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5" firstHeaderRow="1" firstDataRow="1" firstDataCol="1"/>
  <pivotFields count="5">
    <pivotField numFmtId="14"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axis="axisRow" showAll="0" sortType="descending">
      <items count="12">
        <item x="3"/>
        <item x="10"/>
        <item x="2"/>
        <item x="6"/>
        <item x="1"/>
        <item x="7"/>
        <item x="8"/>
        <item x="0"/>
        <item x="5"/>
        <item x="4"/>
        <item x="9"/>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2">
    <i>
      <x/>
    </i>
    <i>
      <x v="1"/>
    </i>
    <i>
      <x v="2"/>
    </i>
    <i>
      <x v="3"/>
    </i>
    <i>
      <x v="4"/>
    </i>
    <i>
      <x v="5"/>
    </i>
    <i>
      <x v="6"/>
    </i>
    <i>
      <x v="7"/>
    </i>
    <i>
      <x v="8"/>
    </i>
    <i>
      <x v="9"/>
    </i>
    <i>
      <x v="10"/>
    </i>
    <i t="grand">
      <x/>
    </i>
  </rowItems>
  <colItems count="1">
    <i/>
  </colItems>
  <dataFields count="1">
    <dataField name="Sum of Expens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8C340F-21E5-451D-9949-41C52F9A121C}"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7:H18" firstHeaderRow="1" firstDataRow="1" firstDataCol="1"/>
  <pivotFields count="5">
    <pivotField numFmtId="14"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axis="axisRow" showAll="0">
      <items count="12">
        <item x="9"/>
        <item x="4"/>
        <item x="5"/>
        <item x="0"/>
        <item x="8"/>
        <item x="7"/>
        <item x="1"/>
        <item x="6"/>
        <item x="2"/>
        <item h="1" x="10"/>
        <item x="3"/>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
    </i>
    <i>
      <x v="2"/>
    </i>
    <i>
      <x v="3"/>
    </i>
    <i>
      <x v="4"/>
    </i>
    <i>
      <x v="5"/>
    </i>
    <i>
      <x v="6"/>
    </i>
    <i>
      <x v="7"/>
    </i>
    <i>
      <x v="8"/>
    </i>
    <i>
      <x v="10"/>
    </i>
    <i t="grand">
      <x/>
    </i>
  </rowItems>
  <colItems count="1">
    <i/>
  </colItems>
  <dataFields count="1">
    <dataField name="Sum of Expense" fld="2"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5C927A-D4A7-4686-9A0A-9ADC0BF73436}"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5:G45" firstHeaderRow="1" firstDataRow="1" firstDataCol="1"/>
  <pivotFields count="5">
    <pivotField numFmtId="14"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0">
    <i>
      <x v="275"/>
    </i>
    <i>
      <x v="278"/>
    </i>
    <i>
      <x v="281"/>
    </i>
    <i>
      <x v="282"/>
    </i>
    <i>
      <x v="289"/>
    </i>
    <i>
      <x v="290"/>
    </i>
    <i>
      <x v="292"/>
    </i>
    <i>
      <x v="293"/>
    </i>
    <i>
      <x v="296"/>
    </i>
    <i>
      <x v="299"/>
    </i>
    <i>
      <x v="301"/>
    </i>
    <i>
      <x v="302"/>
    </i>
    <i>
      <x v="303"/>
    </i>
    <i>
      <x v="304"/>
    </i>
    <i>
      <x v="306"/>
    </i>
    <i>
      <x v="307"/>
    </i>
    <i>
      <x v="309"/>
    </i>
    <i>
      <x v="310"/>
    </i>
    <i>
      <x v="313"/>
    </i>
    <i>
      <x v="314"/>
    </i>
    <i>
      <x v="317"/>
    </i>
    <i>
      <x v="320"/>
    </i>
    <i>
      <x v="322"/>
    </i>
    <i>
      <x v="323"/>
    </i>
    <i>
      <x v="324"/>
    </i>
    <i>
      <x v="327"/>
    </i>
    <i>
      <x v="329"/>
    </i>
    <i>
      <x v="330"/>
    </i>
    <i>
      <x v="331"/>
    </i>
    <i>
      <x v="334"/>
    </i>
    <i>
      <x v="335"/>
    </i>
    <i>
      <x v="336"/>
    </i>
    <i>
      <x v="339"/>
    </i>
    <i>
      <x v="342"/>
    </i>
    <i>
      <x v="344"/>
    </i>
    <i>
      <x v="350"/>
    </i>
    <i>
      <x v="352"/>
    </i>
    <i>
      <x v="355"/>
    </i>
    <i>
      <x v="358"/>
    </i>
    <i t="grand">
      <x/>
    </i>
  </rowItems>
  <colItems count="1">
    <i/>
  </colItems>
  <dataFields count="1">
    <dataField name="Sum of Expense" fld="2"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8680F9-C92C-4B5F-82BF-1E0C89DAE51F}" name="Table1" displayName="Table1" ref="B3:E54" totalsRowShown="0">
  <autoFilter ref="B3:E54" xr:uid="{9D8680F9-C92C-4B5F-82BF-1E0C89DAE51F}"/>
  <tableColumns count="4">
    <tableColumn id="1" xr3:uid="{6469D146-FA03-4660-BFE5-EDB6E6A0704A}" name="Date" dataDxfId="2"/>
    <tableColumn id="2" xr3:uid="{9B5B702D-90ED-4E64-81AB-9FBFF172936A}" name="Items" dataDxfId="1"/>
    <tableColumn id="3" xr3:uid="{DECAE686-5E92-4996-9E7F-977AD03BD89D}" name="Expense" dataDxfId="0"/>
    <tableColumn id="4" xr3:uid="{41DDD4D8-8F85-45CD-A1C1-1CAD91D28347}" name="Cost Typ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478ED-C982-4EE1-A532-7979B17BFC17}">
  <dimension ref="B1:B9"/>
  <sheetViews>
    <sheetView topLeftCell="A2" workbookViewId="0">
      <selection activeCell="B6" sqref="B6"/>
    </sheetView>
  </sheetViews>
  <sheetFormatPr defaultRowHeight="15" x14ac:dyDescent="0.25"/>
  <cols>
    <col min="2" max="2" width="61.42578125" customWidth="1"/>
  </cols>
  <sheetData>
    <row r="1" spans="2:2" x14ac:dyDescent="0.25">
      <c r="B1" s="12" t="s">
        <v>23</v>
      </c>
    </row>
    <row r="2" spans="2:2" ht="39" customHeight="1" x14ac:dyDescent="0.25">
      <c r="B2" s="13" t="s">
        <v>15</v>
      </c>
    </row>
    <row r="3" spans="2:2" ht="25.15" customHeight="1" x14ac:dyDescent="0.25">
      <c r="B3" s="13" t="s">
        <v>16</v>
      </c>
    </row>
    <row r="4" spans="2:2" ht="37.15" customHeight="1" x14ac:dyDescent="0.25">
      <c r="B4" s="13" t="s">
        <v>17</v>
      </c>
    </row>
    <row r="5" spans="2:2" ht="41.45" customHeight="1" x14ac:dyDescent="0.25">
      <c r="B5" s="13" t="s">
        <v>18</v>
      </c>
    </row>
    <row r="6" spans="2:2" ht="32.450000000000003" customHeight="1" x14ac:dyDescent="0.25">
      <c r="B6" s="13" t="s">
        <v>19</v>
      </c>
    </row>
    <row r="7" spans="2:2" ht="51" customHeight="1" x14ac:dyDescent="0.25">
      <c r="B7" s="13" t="s">
        <v>20</v>
      </c>
    </row>
    <row r="8" spans="2:2" ht="42" customHeight="1" x14ac:dyDescent="0.25">
      <c r="B8" s="13" t="s">
        <v>21</v>
      </c>
    </row>
    <row r="9" spans="2:2" ht="31.15" customHeight="1" x14ac:dyDescent="0.25">
      <c r="B9" s="13"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3"/>
  <sheetViews>
    <sheetView zoomScale="87" zoomScaleNormal="87" workbookViewId="0">
      <selection activeCell="K6" sqref="K6"/>
    </sheetView>
  </sheetViews>
  <sheetFormatPr defaultRowHeight="15" x14ac:dyDescent="0.25"/>
  <cols>
    <col min="1" max="1" width="17.140625" customWidth="1"/>
    <col min="2" max="2" width="24.5703125" customWidth="1"/>
    <col min="3" max="3" width="14.42578125" style="11" customWidth="1"/>
  </cols>
  <sheetData>
    <row r="1" spans="1:3" ht="13.9" customHeight="1" x14ac:dyDescent="0.25">
      <c r="A1" s="3" t="s">
        <v>0</v>
      </c>
      <c r="B1" s="3" t="s">
        <v>14</v>
      </c>
      <c r="C1" s="8" t="s">
        <v>1</v>
      </c>
    </row>
    <row r="2" spans="1:3" ht="18" customHeight="1" x14ac:dyDescent="0.25">
      <c r="A2" s="4">
        <v>44470</v>
      </c>
      <c r="B2" s="5" t="s">
        <v>2</v>
      </c>
      <c r="C2" s="9">
        <v>2300</v>
      </c>
    </row>
    <row r="3" spans="1:3" x14ac:dyDescent="0.25">
      <c r="A3" s="6">
        <v>44470</v>
      </c>
      <c r="B3" s="7" t="s">
        <v>3</v>
      </c>
      <c r="C3" s="9">
        <v>767</v>
      </c>
    </row>
    <row r="4" spans="1:3" x14ac:dyDescent="0.25">
      <c r="A4" s="6">
        <v>44470</v>
      </c>
      <c r="B4" s="7" t="s">
        <v>4</v>
      </c>
      <c r="C4" s="10">
        <v>2500</v>
      </c>
    </row>
    <row r="5" spans="1:3" x14ac:dyDescent="0.25">
      <c r="A5" s="6">
        <v>44473</v>
      </c>
      <c r="B5" s="7" t="s">
        <v>5</v>
      </c>
      <c r="C5" s="9">
        <v>710</v>
      </c>
    </row>
    <row r="6" spans="1:3" x14ac:dyDescent="0.25">
      <c r="A6" s="4">
        <v>44473</v>
      </c>
      <c r="B6" s="5" t="s">
        <v>6</v>
      </c>
      <c r="C6" s="9">
        <v>760</v>
      </c>
    </row>
    <row r="7" spans="1:3" x14ac:dyDescent="0.25">
      <c r="A7" s="6">
        <v>44476</v>
      </c>
      <c r="B7" s="7" t="s">
        <v>10</v>
      </c>
      <c r="C7" s="10">
        <v>1900</v>
      </c>
    </row>
    <row r="8" spans="1:3" x14ac:dyDescent="0.25">
      <c r="A8" s="4">
        <v>44477</v>
      </c>
      <c r="B8" s="5" t="s">
        <v>7</v>
      </c>
      <c r="C8" s="9">
        <v>450</v>
      </c>
    </row>
    <row r="9" spans="1:3" x14ac:dyDescent="0.25">
      <c r="A9" s="6">
        <v>44484</v>
      </c>
      <c r="B9" s="7" t="s">
        <v>8</v>
      </c>
      <c r="C9" s="9">
        <v>620</v>
      </c>
    </row>
    <row r="10" spans="1:3" x14ac:dyDescent="0.25">
      <c r="A10" s="6">
        <v>44485</v>
      </c>
      <c r="B10" s="7" t="s">
        <v>11</v>
      </c>
      <c r="C10" s="9">
        <v>470</v>
      </c>
    </row>
    <row r="11" spans="1:3" x14ac:dyDescent="0.25">
      <c r="A11" s="6">
        <v>44487</v>
      </c>
      <c r="B11" s="7" t="s">
        <v>3</v>
      </c>
      <c r="C11" s="9">
        <v>970</v>
      </c>
    </row>
    <row r="12" spans="1:3" x14ac:dyDescent="0.25">
      <c r="A12" s="6">
        <v>44487</v>
      </c>
      <c r="B12" s="5" t="s">
        <v>2</v>
      </c>
      <c r="C12" s="10">
        <v>1075</v>
      </c>
    </row>
    <row r="13" spans="1:3" x14ac:dyDescent="0.25">
      <c r="A13" s="6">
        <v>44488</v>
      </c>
      <c r="B13" s="7" t="s">
        <v>7</v>
      </c>
      <c r="C13" s="9">
        <v>489</v>
      </c>
    </row>
    <row r="14" spans="1:3" x14ac:dyDescent="0.25">
      <c r="A14" s="6">
        <v>44491</v>
      </c>
      <c r="B14" s="7" t="s">
        <v>4</v>
      </c>
      <c r="C14" s="10">
        <v>1574.1</v>
      </c>
    </row>
    <row r="15" spans="1:3" x14ac:dyDescent="0.25">
      <c r="A15" s="6">
        <v>44491</v>
      </c>
      <c r="B15" s="7" t="s">
        <v>6</v>
      </c>
      <c r="C15" s="9">
        <v>550</v>
      </c>
    </row>
    <row r="16" spans="1:3" x14ac:dyDescent="0.25">
      <c r="A16" s="6">
        <v>44494</v>
      </c>
      <c r="B16" s="7" t="s">
        <v>9</v>
      </c>
      <c r="C16" s="9">
        <v>423</v>
      </c>
    </row>
    <row r="17" spans="1:3" x14ac:dyDescent="0.25">
      <c r="A17" s="6">
        <v>44496</v>
      </c>
      <c r="B17" s="7" t="s">
        <v>9</v>
      </c>
      <c r="C17" s="9">
        <v>358.22</v>
      </c>
    </row>
    <row r="18" spans="1:3" x14ac:dyDescent="0.25">
      <c r="A18" s="6">
        <v>44496</v>
      </c>
      <c r="B18" s="7" t="s">
        <v>8</v>
      </c>
      <c r="C18" s="9">
        <v>520</v>
      </c>
    </row>
    <row r="19" spans="1:3" x14ac:dyDescent="0.25">
      <c r="A19" s="4">
        <v>44497</v>
      </c>
      <c r="B19" s="5" t="s">
        <v>5</v>
      </c>
      <c r="C19" s="9">
        <v>300</v>
      </c>
    </row>
    <row r="20" spans="1:3" x14ac:dyDescent="0.25">
      <c r="A20" s="4">
        <v>44498</v>
      </c>
      <c r="B20" s="5" t="s">
        <v>9</v>
      </c>
      <c r="C20" s="9">
        <v>407.05</v>
      </c>
    </row>
    <row r="21" spans="1:3" x14ac:dyDescent="0.25">
      <c r="A21" s="4">
        <v>44499</v>
      </c>
      <c r="B21" s="5" t="s">
        <v>4</v>
      </c>
      <c r="C21" s="9">
        <v>300</v>
      </c>
    </row>
    <row r="22" spans="1:3" x14ac:dyDescent="0.25">
      <c r="A22" s="6">
        <v>44501</v>
      </c>
      <c r="B22" s="7" t="s">
        <v>3</v>
      </c>
      <c r="C22" s="10">
        <v>2327</v>
      </c>
    </row>
    <row r="23" spans="1:3" x14ac:dyDescent="0.25">
      <c r="A23" s="6">
        <v>44502</v>
      </c>
      <c r="B23" s="7" t="s">
        <v>10</v>
      </c>
      <c r="C23" s="9">
        <v>1150</v>
      </c>
    </row>
    <row r="24" spans="1:3" x14ac:dyDescent="0.25">
      <c r="A24" s="6">
        <v>44504</v>
      </c>
      <c r="B24" s="7" t="s">
        <v>10</v>
      </c>
      <c r="C24" s="10">
        <v>1138</v>
      </c>
    </row>
    <row r="25" spans="1:3" x14ac:dyDescent="0.25">
      <c r="A25" s="4">
        <v>44505</v>
      </c>
      <c r="B25" s="5" t="s">
        <v>13</v>
      </c>
      <c r="C25" s="9">
        <v>500</v>
      </c>
    </row>
    <row r="26" spans="1:3" x14ac:dyDescent="0.25">
      <c r="A26" s="4">
        <v>44508</v>
      </c>
      <c r="B26" s="5" t="s">
        <v>6</v>
      </c>
      <c r="C26" s="9">
        <v>702</v>
      </c>
    </row>
    <row r="27" spans="1:3" x14ac:dyDescent="0.25">
      <c r="A27" s="6">
        <v>44509</v>
      </c>
      <c r="B27" s="7" t="s">
        <v>4</v>
      </c>
      <c r="C27" s="10">
        <v>1600</v>
      </c>
    </row>
    <row r="28" spans="1:3" x14ac:dyDescent="0.25">
      <c r="A28" s="6">
        <v>44512</v>
      </c>
      <c r="B28" s="7" t="s">
        <v>5</v>
      </c>
      <c r="C28" s="9">
        <v>600</v>
      </c>
    </row>
    <row r="29" spans="1:3" ht="19.149999999999999" customHeight="1" x14ac:dyDescent="0.25">
      <c r="A29" s="4">
        <v>44515</v>
      </c>
      <c r="B29" s="5" t="s">
        <v>13</v>
      </c>
      <c r="C29" s="9">
        <v>900</v>
      </c>
    </row>
    <row r="30" spans="1:3" x14ac:dyDescent="0.25">
      <c r="A30" s="6">
        <v>44515</v>
      </c>
      <c r="B30" s="5" t="s">
        <v>6</v>
      </c>
      <c r="C30" s="9">
        <v>150</v>
      </c>
    </row>
    <row r="31" spans="1:3" x14ac:dyDescent="0.25">
      <c r="A31" s="4">
        <v>44515</v>
      </c>
      <c r="B31" s="5" t="s">
        <v>2</v>
      </c>
      <c r="C31" s="9">
        <v>2100</v>
      </c>
    </row>
    <row r="32" spans="1:3" x14ac:dyDescent="0.25">
      <c r="A32" s="4">
        <v>44517</v>
      </c>
      <c r="B32" s="5" t="s">
        <v>11</v>
      </c>
      <c r="C32" s="9">
        <v>470.63</v>
      </c>
    </row>
    <row r="33" spans="1:3" x14ac:dyDescent="0.25">
      <c r="A33" s="4">
        <v>44517</v>
      </c>
      <c r="B33" s="5" t="s">
        <v>9</v>
      </c>
      <c r="C33" s="9">
        <v>322.64</v>
      </c>
    </row>
    <row r="34" spans="1:3" x14ac:dyDescent="0.25">
      <c r="A34" s="4">
        <v>44518</v>
      </c>
      <c r="B34" s="7" t="s">
        <v>8</v>
      </c>
      <c r="C34" s="9">
        <v>428</v>
      </c>
    </row>
    <row r="35" spans="1:3" x14ac:dyDescent="0.25">
      <c r="A35" s="4">
        <v>44519</v>
      </c>
      <c r="B35" s="5" t="s">
        <v>5</v>
      </c>
      <c r="C35" s="9">
        <v>447</v>
      </c>
    </row>
    <row r="36" spans="1:3" x14ac:dyDescent="0.25">
      <c r="A36" s="4">
        <v>44522</v>
      </c>
      <c r="B36" s="5" t="s">
        <v>4</v>
      </c>
      <c r="C36" s="10">
        <v>1720</v>
      </c>
    </row>
    <row r="37" spans="1:3" x14ac:dyDescent="0.25">
      <c r="A37" s="6">
        <v>44524</v>
      </c>
      <c r="B37" s="7" t="s">
        <v>6</v>
      </c>
      <c r="C37" s="9">
        <v>540</v>
      </c>
    </row>
    <row r="38" spans="1:3" x14ac:dyDescent="0.25">
      <c r="A38" s="4">
        <v>44525</v>
      </c>
      <c r="B38" s="5" t="s">
        <v>7</v>
      </c>
      <c r="C38" s="9">
        <v>314</v>
      </c>
    </row>
    <row r="39" spans="1:3" ht="18" customHeight="1" x14ac:dyDescent="0.25">
      <c r="A39" s="4">
        <v>44526</v>
      </c>
      <c r="B39" s="5" t="s">
        <v>8</v>
      </c>
      <c r="C39" s="9">
        <v>518</v>
      </c>
    </row>
    <row r="40" spans="1:3" ht="15.6" customHeight="1" x14ac:dyDescent="0.25">
      <c r="A40" s="4">
        <v>44526</v>
      </c>
      <c r="B40" s="7" t="s">
        <v>3</v>
      </c>
      <c r="C40" s="10">
        <v>2000</v>
      </c>
    </row>
    <row r="41" spans="1:3" x14ac:dyDescent="0.25">
      <c r="A41" s="6">
        <v>44529</v>
      </c>
      <c r="B41" s="7" t="s">
        <v>7</v>
      </c>
      <c r="C41" s="9">
        <v>337</v>
      </c>
    </row>
    <row r="42" spans="1:3" x14ac:dyDescent="0.25">
      <c r="A42" s="4">
        <v>44530</v>
      </c>
      <c r="B42" s="5" t="s">
        <v>8</v>
      </c>
      <c r="C42" s="9">
        <v>500</v>
      </c>
    </row>
    <row r="43" spans="1:3" x14ac:dyDescent="0.25">
      <c r="A43" s="4">
        <v>44531</v>
      </c>
      <c r="B43" s="5" t="s">
        <v>4</v>
      </c>
      <c r="C43" s="10">
        <v>2500</v>
      </c>
    </row>
    <row r="44" spans="1:3" x14ac:dyDescent="0.25">
      <c r="A44" s="6">
        <v>44534</v>
      </c>
      <c r="B44" s="7" t="s">
        <v>5</v>
      </c>
      <c r="C44" s="9">
        <v>710</v>
      </c>
    </row>
    <row r="45" spans="1:3" x14ac:dyDescent="0.25">
      <c r="A45" s="4">
        <v>44537</v>
      </c>
      <c r="B45" s="5" t="s">
        <v>2</v>
      </c>
      <c r="C45" s="9">
        <v>2300</v>
      </c>
    </row>
    <row r="46" spans="1:3" x14ac:dyDescent="0.25">
      <c r="A46" s="4">
        <v>44539</v>
      </c>
      <c r="B46" s="5" t="s">
        <v>12</v>
      </c>
      <c r="C46" s="9">
        <v>12000</v>
      </c>
    </row>
    <row r="47" spans="1:3" x14ac:dyDescent="0.25">
      <c r="A47" s="4">
        <v>44545</v>
      </c>
      <c r="B47" s="7" t="s">
        <v>10</v>
      </c>
      <c r="C47" s="9">
        <v>1500</v>
      </c>
    </row>
    <row r="48" spans="1:3" x14ac:dyDescent="0.25">
      <c r="A48" s="4">
        <v>44547</v>
      </c>
      <c r="B48" s="5" t="s">
        <v>11</v>
      </c>
      <c r="C48" s="9">
        <v>470.63</v>
      </c>
    </row>
    <row r="49" spans="1:3" x14ac:dyDescent="0.25">
      <c r="A49" s="4">
        <v>44550</v>
      </c>
      <c r="B49" s="5" t="s">
        <v>7</v>
      </c>
      <c r="C49" s="9">
        <v>267</v>
      </c>
    </row>
    <row r="50" spans="1:3" x14ac:dyDescent="0.25">
      <c r="A50" s="4">
        <v>44553</v>
      </c>
      <c r="B50" s="5" t="s">
        <v>6</v>
      </c>
      <c r="C50" s="9">
        <v>640</v>
      </c>
    </row>
    <row r="51" spans="1:3" x14ac:dyDescent="0.25">
      <c r="A51" s="4">
        <v>44553</v>
      </c>
      <c r="B51" s="5" t="s">
        <v>5</v>
      </c>
      <c r="C51" s="9">
        <v>450</v>
      </c>
    </row>
    <row r="52" spans="1:3" ht="31.5" x14ac:dyDescent="0.25">
      <c r="A52" s="2"/>
      <c r="C52" s="11">
        <f>SUM(C2:C51)</f>
        <v>57045.27</v>
      </c>
    </row>
    <row r="53" spans="1:3" ht="15.75" x14ac:dyDescent="0.25">
      <c r="A53"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5A159-6BBB-4EEB-B87F-1C01F3E29EBF}">
  <dimension ref="A1:C8"/>
  <sheetViews>
    <sheetView zoomScale="106" zoomScaleNormal="106" workbookViewId="0">
      <selection activeCell="B4" sqref="B4"/>
    </sheetView>
  </sheetViews>
  <sheetFormatPr defaultRowHeight="15" x14ac:dyDescent="0.25"/>
  <cols>
    <col min="2" max="2" width="15.7109375" bestFit="1" customWidth="1"/>
    <col min="3" max="3" width="17" bestFit="1" customWidth="1"/>
  </cols>
  <sheetData>
    <row r="1" spans="1:3" x14ac:dyDescent="0.25">
      <c r="A1" t="s">
        <v>24</v>
      </c>
    </row>
    <row r="4" spans="1:3" x14ac:dyDescent="0.25">
      <c r="B4" s="14" t="s">
        <v>25</v>
      </c>
      <c r="C4" t="s">
        <v>28</v>
      </c>
    </row>
    <row r="5" spans="1:3" x14ac:dyDescent="0.25">
      <c r="B5" s="15" t="s">
        <v>10</v>
      </c>
      <c r="C5">
        <v>4</v>
      </c>
    </row>
    <row r="6" spans="1:3" x14ac:dyDescent="0.25">
      <c r="B6" s="15" t="s">
        <v>3</v>
      </c>
      <c r="C6">
        <v>6</v>
      </c>
    </row>
    <row r="7" spans="1:3" x14ac:dyDescent="0.25">
      <c r="B7" s="15" t="s">
        <v>7</v>
      </c>
      <c r="C7">
        <v>5</v>
      </c>
    </row>
    <row r="8" spans="1:3" x14ac:dyDescent="0.25">
      <c r="B8" s="15" t="s">
        <v>26</v>
      </c>
      <c r="C8">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73C23-C2DB-43F1-9ADF-99524A4FE216}">
  <dimension ref="A1:C15"/>
  <sheetViews>
    <sheetView workbookViewId="0">
      <selection activeCell="J19" sqref="J19"/>
    </sheetView>
  </sheetViews>
  <sheetFormatPr defaultRowHeight="15" x14ac:dyDescent="0.25"/>
  <cols>
    <col min="2" max="2" width="20.28515625" bestFit="1" customWidth="1"/>
    <col min="3" max="3" width="15.140625" bestFit="1" customWidth="1"/>
    <col min="4" max="6" width="4" bestFit="1" customWidth="1"/>
    <col min="7" max="7" width="7" bestFit="1" customWidth="1"/>
    <col min="8" max="8" width="4" bestFit="1" customWidth="1"/>
    <col min="9" max="10" width="7" bestFit="1" customWidth="1"/>
    <col min="11" max="15" width="4" bestFit="1" customWidth="1"/>
    <col min="16" max="16" width="7" bestFit="1" customWidth="1"/>
    <col min="17" max="31" width="4" bestFit="1" customWidth="1"/>
    <col min="32" max="35" width="5" bestFit="1" customWidth="1"/>
    <col min="36" max="36" width="7" bestFit="1" customWidth="1"/>
    <col min="37" max="44" width="5" bestFit="1" customWidth="1"/>
    <col min="45" max="45" width="6" bestFit="1" customWidth="1"/>
    <col min="46" max="46" width="11.28515625" bestFit="1" customWidth="1"/>
  </cols>
  <sheetData>
    <row r="1" spans="1:3" x14ac:dyDescent="0.25">
      <c r="A1" t="s">
        <v>29</v>
      </c>
    </row>
    <row r="3" spans="1:3" x14ac:dyDescent="0.25">
      <c r="B3" s="14" t="s">
        <v>25</v>
      </c>
      <c r="C3" t="s">
        <v>27</v>
      </c>
    </row>
    <row r="4" spans="1:3" x14ac:dyDescent="0.25">
      <c r="B4" s="15" t="s">
        <v>9</v>
      </c>
      <c r="C4">
        <v>1510.91</v>
      </c>
    </row>
    <row r="5" spans="1:3" x14ac:dyDescent="0.25">
      <c r="B5" s="15" t="s">
        <v>6</v>
      </c>
      <c r="C5">
        <v>3342</v>
      </c>
    </row>
    <row r="6" spans="1:3" x14ac:dyDescent="0.25">
      <c r="B6" s="15" t="s">
        <v>10</v>
      </c>
      <c r="C6">
        <v>5688</v>
      </c>
    </row>
    <row r="7" spans="1:3" x14ac:dyDescent="0.25">
      <c r="B7" s="15" t="s">
        <v>2</v>
      </c>
      <c r="C7">
        <v>7775</v>
      </c>
    </row>
    <row r="8" spans="1:3" x14ac:dyDescent="0.25">
      <c r="B8" s="15" t="s">
        <v>11</v>
      </c>
      <c r="C8">
        <v>1411.26</v>
      </c>
    </row>
    <row r="9" spans="1:3" x14ac:dyDescent="0.25">
      <c r="B9" s="15" t="s">
        <v>8</v>
      </c>
      <c r="C9">
        <v>2586</v>
      </c>
    </row>
    <row r="10" spans="1:3" x14ac:dyDescent="0.25">
      <c r="B10" s="15" t="s">
        <v>3</v>
      </c>
      <c r="C10">
        <v>7464</v>
      </c>
    </row>
    <row r="11" spans="1:3" x14ac:dyDescent="0.25">
      <c r="B11" s="15" t="s">
        <v>7</v>
      </c>
      <c r="C11">
        <v>1857</v>
      </c>
    </row>
    <row r="12" spans="1:3" x14ac:dyDescent="0.25">
      <c r="B12" s="15" t="s">
        <v>4</v>
      </c>
      <c r="C12">
        <v>10194.1</v>
      </c>
    </row>
    <row r="13" spans="1:3" x14ac:dyDescent="0.25">
      <c r="B13" s="15" t="s">
        <v>12</v>
      </c>
      <c r="C13">
        <v>12000</v>
      </c>
    </row>
    <row r="14" spans="1:3" x14ac:dyDescent="0.25">
      <c r="B14" s="15" t="s">
        <v>5</v>
      </c>
      <c r="C14">
        <v>3217</v>
      </c>
    </row>
    <row r="15" spans="1:3" x14ac:dyDescent="0.25">
      <c r="B15" s="15" t="s">
        <v>26</v>
      </c>
      <c r="C15">
        <v>57045.27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34AAE-71DB-4064-9B9C-78B3BE23AA58}">
  <dimension ref="A1:C15"/>
  <sheetViews>
    <sheetView workbookViewId="0">
      <selection activeCell="F10" sqref="F10"/>
    </sheetView>
  </sheetViews>
  <sheetFormatPr defaultRowHeight="15" x14ac:dyDescent="0.25"/>
  <cols>
    <col min="2" max="2" width="20.28515625" bestFit="1" customWidth="1"/>
    <col min="3" max="3" width="15.140625" bestFit="1" customWidth="1"/>
  </cols>
  <sheetData>
    <row r="1" spans="1:3" x14ac:dyDescent="0.25">
      <c r="A1" t="s">
        <v>33</v>
      </c>
    </row>
    <row r="3" spans="1:3" x14ac:dyDescent="0.25">
      <c r="B3" s="14" t="s">
        <v>25</v>
      </c>
      <c r="C3" t="s">
        <v>27</v>
      </c>
    </row>
    <row r="4" spans="1:3" x14ac:dyDescent="0.25">
      <c r="B4" s="15" t="s">
        <v>5</v>
      </c>
      <c r="C4">
        <v>3217</v>
      </c>
    </row>
    <row r="5" spans="1:3" x14ac:dyDescent="0.25">
      <c r="B5" s="15" t="s">
        <v>12</v>
      </c>
      <c r="C5">
        <v>12000</v>
      </c>
    </row>
    <row r="6" spans="1:3" x14ac:dyDescent="0.25">
      <c r="B6" s="15" t="s">
        <v>4</v>
      </c>
      <c r="C6">
        <v>10194.1</v>
      </c>
    </row>
    <row r="7" spans="1:3" x14ac:dyDescent="0.25">
      <c r="B7" s="15" t="s">
        <v>7</v>
      </c>
      <c r="C7">
        <v>1857</v>
      </c>
    </row>
    <row r="8" spans="1:3" x14ac:dyDescent="0.25">
      <c r="B8" s="15" t="s">
        <v>3</v>
      </c>
      <c r="C8">
        <v>7464</v>
      </c>
    </row>
    <row r="9" spans="1:3" x14ac:dyDescent="0.25">
      <c r="B9" s="15" t="s">
        <v>8</v>
      </c>
      <c r="C9">
        <v>2586</v>
      </c>
    </row>
    <row r="10" spans="1:3" x14ac:dyDescent="0.25">
      <c r="B10" s="15" t="s">
        <v>11</v>
      </c>
      <c r="C10">
        <v>1411.26</v>
      </c>
    </row>
    <row r="11" spans="1:3" x14ac:dyDescent="0.25">
      <c r="B11" s="15" t="s">
        <v>2</v>
      </c>
      <c r="C11">
        <v>7775</v>
      </c>
    </row>
    <row r="12" spans="1:3" x14ac:dyDescent="0.25">
      <c r="B12" s="15" t="s">
        <v>10</v>
      </c>
      <c r="C12">
        <v>5688</v>
      </c>
    </row>
    <row r="13" spans="1:3" x14ac:dyDescent="0.25">
      <c r="B13" s="15" t="s">
        <v>6</v>
      </c>
      <c r="C13">
        <v>3342</v>
      </c>
    </row>
    <row r="14" spans="1:3" x14ac:dyDescent="0.25">
      <c r="B14" s="15" t="s">
        <v>9</v>
      </c>
      <c r="C14">
        <v>1510.9099999999999</v>
      </c>
    </row>
    <row r="15" spans="1:3" x14ac:dyDescent="0.25">
      <c r="B15" s="15" t="s">
        <v>26</v>
      </c>
      <c r="C15">
        <v>57045.270000000004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35796-CDFC-48C6-A0DD-198956FB8FEF}">
  <dimension ref="A1:H53"/>
  <sheetViews>
    <sheetView zoomScale="80" zoomScaleNormal="80" workbookViewId="0">
      <selection activeCell="B3" sqref="B3:D53"/>
    </sheetView>
  </sheetViews>
  <sheetFormatPr defaultRowHeight="15" x14ac:dyDescent="0.25"/>
  <cols>
    <col min="2" max="2" width="14.42578125" customWidth="1"/>
    <col min="3" max="3" width="28" customWidth="1"/>
    <col min="4" max="4" width="18.140625" customWidth="1"/>
    <col min="7" max="7" width="22.85546875" bestFit="1" customWidth="1"/>
    <col min="8" max="8" width="15.5703125" bestFit="1" customWidth="1"/>
  </cols>
  <sheetData>
    <row r="1" spans="1:8" x14ac:dyDescent="0.25">
      <c r="A1" t="s">
        <v>34</v>
      </c>
    </row>
    <row r="3" spans="1:8" x14ac:dyDescent="0.25">
      <c r="B3" s="3" t="s">
        <v>0</v>
      </c>
      <c r="C3" s="3" t="s">
        <v>14</v>
      </c>
      <c r="D3" s="8" t="s">
        <v>1</v>
      </c>
    </row>
    <row r="4" spans="1:8" x14ac:dyDescent="0.25">
      <c r="B4" s="4">
        <v>44470</v>
      </c>
      <c r="C4" s="5" t="s">
        <v>2</v>
      </c>
      <c r="D4" s="9">
        <v>2300</v>
      </c>
    </row>
    <row r="5" spans="1:8" x14ac:dyDescent="0.25">
      <c r="B5" s="6">
        <v>44470</v>
      </c>
      <c r="C5" s="7" t="s">
        <v>3</v>
      </c>
      <c r="D5" s="9">
        <v>767</v>
      </c>
    </row>
    <row r="6" spans="1:8" x14ac:dyDescent="0.25">
      <c r="B6" s="6">
        <v>44470</v>
      </c>
      <c r="C6" s="7" t="s">
        <v>4</v>
      </c>
      <c r="D6" s="10">
        <v>2500</v>
      </c>
    </row>
    <row r="7" spans="1:8" ht="18" customHeight="1" x14ac:dyDescent="0.25">
      <c r="B7" s="6">
        <v>44473</v>
      </c>
      <c r="C7" s="7" t="s">
        <v>5</v>
      </c>
      <c r="D7" s="9">
        <v>710</v>
      </c>
      <c r="G7" s="14" t="s">
        <v>25</v>
      </c>
      <c r="H7" t="s">
        <v>27</v>
      </c>
    </row>
    <row r="8" spans="1:8" ht="17.25" customHeight="1" x14ac:dyDescent="0.25">
      <c r="B8" s="4">
        <v>44473</v>
      </c>
      <c r="C8" s="5" t="s">
        <v>6</v>
      </c>
      <c r="D8" s="9">
        <v>760</v>
      </c>
      <c r="G8" s="15" t="s">
        <v>9</v>
      </c>
      <c r="H8">
        <v>1510.9099999999999</v>
      </c>
    </row>
    <row r="9" spans="1:8" ht="19.5" customHeight="1" x14ac:dyDescent="0.25">
      <c r="B9" s="6">
        <v>44476</v>
      </c>
      <c r="C9" s="7" t="s">
        <v>10</v>
      </c>
      <c r="D9" s="10">
        <v>1900</v>
      </c>
      <c r="G9" s="15" t="s">
        <v>6</v>
      </c>
      <c r="H9">
        <v>3342</v>
      </c>
    </row>
    <row r="10" spans="1:8" x14ac:dyDescent="0.25">
      <c r="B10" s="4">
        <v>44477</v>
      </c>
      <c r="C10" s="5" t="s">
        <v>7</v>
      </c>
      <c r="D10" s="9">
        <v>450</v>
      </c>
      <c r="G10" s="15" t="s">
        <v>10</v>
      </c>
      <c r="H10">
        <v>5688</v>
      </c>
    </row>
    <row r="11" spans="1:8" ht="15" customHeight="1" x14ac:dyDescent="0.25">
      <c r="B11" s="6">
        <v>44484</v>
      </c>
      <c r="C11" s="7" t="s">
        <v>8</v>
      </c>
      <c r="D11" s="9">
        <v>620</v>
      </c>
      <c r="G11" s="15" t="s">
        <v>2</v>
      </c>
      <c r="H11">
        <v>7775</v>
      </c>
    </row>
    <row r="12" spans="1:8" ht="19.5" customHeight="1" x14ac:dyDescent="0.25">
      <c r="B12" s="6">
        <v>44485</v>
      </c>
      <c r="C12" s="7" t="s">
        <v>11</v>
      </c>
      <c r="D12" s="9">
        <v>470</v>
      </c>
      <c r="G12" s="15" t="s">
        <v>11</v>
      </c>
      <c r="H12">
        <v>1411.26</v>
      </c>
    </row>
    <row r="13" spans="1:8" ht="20.25" customHeight="1" x14ac:dyDescent="0.25">
      <c r="B13" s="6">
        <v>44487</v>
      </c>
      <c r="C13" s="7" t="s">
        <v>3</v>
      </c>
      <c r="D13" s="9">
        <v>970</v>
      </c>
      <c r="G13" s="15" t="s">
        <v>8</v>
      </c>
      <c r="H13">
        <v>2586</v>
      </c>
    </row>
    <row r="14" spans="1:8" ht="21" customHeight="1" x14ac:dyDescent="0.25">
      <c r="B14" s="6">
        <v>44487</v>
      </c>
      <c r="C14" s="5" t="s">
        <v>2</v>
      </c>
      <c r="D14" s="10">
        <v>1075</v>
      </c>
      <c r="G14" s="15" t="s">
        <v>3</v>
      </c>
      <c r="H14">
        <v>7464</v>
      </c>
    </row>
    <row r="15" spans="1:8" ht="21.75" customHeight="1" x14ac:dyDescent="0.25">
      <c r="B15" s="6">
        <v>44488</v>
      </c>
      <c r="C15" s="7" t="s">
        <v>7</v>
      </c>
      <c r="D15" s="9">
        <v>489</v>
      </c>
      <c r="G15" s="15" t="s">
        <v>7</v>
      </c>
      <c r="H15">
        <v>1857</v>
      </c>
    </row>
    <row r="16" spans="1:8" x14ac:dyDescent="0.25">
      <c r="B16" s="6">
        <v>44491</v>
      </c>
      <c r="C16" s="7" t="s">
        <v>4</v>
      </c>
      <c r="D16" s="10">
        <v>1574.1</v>
      </c>
      <c r="G16" s="15" t="s">
        <v>4</v>
      </c>
      <c r="H16">
        <v>10194.1</v>
      </c>
    </row>
    <row r="17" spans="2:8" ht="21" customHeight="1" x14ac:dyDescent="0.25">
      <c r="B17" s="6">
        <v>44491</v>
      </c>
      <c r="C17" s="7" t="s">
        <v>6</v>
      </c>
      <c r="D17" s="9">
        <v>550</v>
      </c>
      <c r="G17" s="15" t="s">
        <v>5</v>
      </c>
      <c r="H17">
        <v>3217</v>
      </c>
    </row>
    <row r="18" spans="2:8" x14ac:dyDescent="0.25">
      <c r="B18" s="6">
        <v>44494</v>
      </c>
      <c r="C18" s="7" t="s">
        <v>9</v>
      </c>
      <c r="D18" s="9">
        <v>423</v>
      </c>
      <c r="G18" s="15" t="s">
        <v>26</v>
      </c>
      <c r="H18">
        <v>45045.27</v>
      </c>
    </row>
    <row r="19" spans="2:8" x14ac:dyDescent="0.25">
      <c r="B19" s="6">
        <v>44496</v>
      </c>
      <c r="C19" s="7" t="s">
        <v>9</v>
      </c>
      <c r="D19" s="9">
        <v>358.22</v>
      </c>
    </row>
    <row r="20" spans="2:8" x14ac:dyDescent="0.25">
      <c r="B20" s="6">
        <v>44496</v>
      </c>
      <c r="C20" s="7" t="s">
        <v>8</v>
      </c>
      <c r="D20" s="9">
        <v>520</v>
      </c>
    </row>
    <row r="21" spans="2:8" x14ac:dyDescent="0.25">
      <c r="B21" s="4">
        <v>44497</v>
      </c>
      <c r="C21" s="5" t="s">
        <v>5</v>
      </c>
      <c r="D21" s="9">
        <v>300</v>
      </c>
    </row>
    <row r="22" spans="2:8" x14ac:dyDescent="0.25">
      <c r="B22" s="4">
        <v>44498</v>
      </c>
      <c r="C22" s="5" t="s">
        <v>9</v>
      </c>
      <c r="D22" s="9">
        <v>407.05</v>
      </c>
    </row>
    <row r="23" spans="2:8" x14ac:dyDescent="0.25">
      <c r="B23" s="4">
        <v>44499</v>
      </c>
      <c r="C23" s="5" t="s">
        <v>4</v>
      </c>
      <c r="D23" s="9">
        <v>300</v>
      </c>
    </row>
    <row r="24" spans="2:8" x14ac:dyDescent="0.25">
      <c r="B24" s="6">
        <v>44501</v>
      </c>
      <c r="C24" s="7" t="s">
        <v>3</v>
      </c>
      <c r="D24" s="10">
        <v>2327</v>
      </c>
    </row>
    <row r="25" spans="2:8" x14ac:dyDescent="0.25">
      <c r="B25" s="6">
        <v>44502</v>
      </c>
      <c r="C25" s="7" t="s">
        <v>10</v>
      </c>
      <c r="D25" s="9">
        <v>1150</v>
      </c>
    </row>
    <row r="26" spans="2:8" x14ac:dyDescent="0.25">
      <c r="B26" s="6">
        <v>44504</v>
      </c>
      <c r="C26" s="7" t="s">
        <v>10</v>
      </c>
      <c r="D26" s="10">
        <v>1138</v>
      </c>
    </row>
    <row r="27" spans="2:8" x14ac:dyDescent="0.25">
      <c r="B27" s="4">
        <v>44505</v>
      </c>
      <c r="C27" s="5" t="s">
        <v>13</v>
      </c>
      <c r="D27" s="9">
        <v>500</v>
      </c>
    </row>
    <row r="28" spans="2:8" x14ac:dyDescent="0.25">
      <c r="B28" s="4">
        <v>44508</v>
      </c>
      <c r="C28" s="5" t="s">
        <v>6</v>
      </c>
      <c r="D28" s="9">
        <v>702</v>
      </c>
    </row>
    <row r="29" spans="2:8" x14ac:dyDescent="0.25">
      <c r="B29" s="6">
        <v>44509</v>
      </c>
      <c r="C29" s="7" t="s">
        <v>4</v>
      </c>
      <c r="D29" s="10">
        <v>1600</v>
      </c>
    </row>
    <row r="30" spans="2:8" x14ac:dyDescent="0.25">
      <c r="B30" s="6">
        <v>44512</v>
      </c>
      <c r="C30" s="7" t="s">
        <v>5</v>
      </c>
      <c r="D30" s="9">
        <v>600</v>
      </c>
    </row>
    <row r="31" spans="2:8" x14ac:dyDescent="0.25">
      <c r="B31" s="4">
        <v>44515</v>
      </c>
      <c r="C31" s="5" t="s">
        <v>13</v>
      </c>
      <c r="D31" s="9">
        <v>900</v>
      </c>
    </row>
    <row r="32" spans="2:8" x14ac:dyDescent="0.25">
      <c r="B32" s="6">
        <v>44515</v>
      </c>
      <c r="C32" s="5" t="s">
        <v>6</v>
      </c>
      <c r="D32" s="9">
        <v>150</v>
      </c>
    </row>
    <row r="33" spans="2:4" x14ac:dyDescent="0.25">
      <c r="B33" s="4">
        <v>44515</v>
      </c>
      <c r="C33" s="5" t="s">
        <v>2</v>
      </c>
      <c r="D33" s="9">
        <v>2100</v>
      </c>
    </row>
    <row r="34" spans="2:4" x14ac:dyDescent="0.25">
      <c r="B34" s="4">
        <v>44517</v>
      </c>
      <c r="C34" s="5" t="s">
        <v>11</v>
      </c>
      <c r="D34" s="9">
        <v>470.63</v>
      </c>
    </row>
    <row r="35" spans="2:4" x14ac:dyDescent="0.25">
      <c r="B35" s="4">
        <v>44517</v>
      </c>
      <c r="C35" s="5" t="s">
        <v>9</v>
      </c>
      <c r="D35" s="9">
        <v>322.64</v>
      </c>
    </row>
    <row r="36" spans="2:4" x14ac:dyDescent="0.25">
      <c r="B36" s="4">
        <v>44518</v>
      </c>
      <c r="C36" s="7" t="s">
        <v>8</v>
      </c>
      <c r="D36" s="9">
        <v>428</v>
      </c>
    </row>
    <row r="37" spans="2:4" x14ac:dyDescent="0.25">
      <c r="B37" s="4">
        <v>44519</v>
      </c>
      <c r="C37" s="5" t="s">
        <v>5</v>
      </c>
      <c r="D37" s="9">
        <v>447</v>
      </c>
    </row>
    <row r="38" spans="2:4" x14ac:dyDescent="0.25">
      <c r="B38" s="4">
        <v>44522</v>
      </c>
      <c r="C38" s="5" t="s">
        <v>4</v>
      </c>
      <c r="D38" s="10">
        <v>1720</v>
      </c>
    </row>
    <row r="39" spans="2:4" x14ac:dyDescent="0.25">
      <c r="B39" s="6">
        <v>44524</v>
      </c>
      <c r="C39" s="7" t="s">
        <v>6</v>
      </c>
      <c r="D39" s="9">
        <v>540</v>
      </c>
    </row>
    <row r="40" spans="2:4" x14ac:dyDescent="0.25">
      <c r="B40" s="4">
        <v>44525</v>
      </c>
      <c r="C40" s="5" t="s">
        <v>7</v>
      </c>
      <c r="D40" s="9">
        <v>314</v>
      </c>
    </row>
    <row r="41" spans="2:4" x14ac:dyDescent="0.25">
      <c r="B41" s="4">
        <v>44526</v>
      </c>
      <c r="C41" s="5" t="s">
        <v>8</v>
      </c>
      <c r="D41" s="9">
        <v>518</v>
      </c>
    </row>
    <row r="42" spans="2:4" x14ac:dyDescent="0.25">
      <c r="B42" s="4">
        <v>44526</v>
      </c>
      <c r="C42" s="7" t="s">
        <v>3</v>
      </c>
      <c r="D42" s="10">
        <v>2000</v>
      </c>
    </row>
    <row r="43" spans="2:4" x14ac:dyDescent="0.25">
      <c r="B43" s="6">
        <v>44529</v>
      </c>
      <c r="C43" s="7" t="s">
        <v>7</v>
      </c>
      <c r="D43" s="9">
        <v>337</v>
      </c>
    </row>
    <row r="44" spans="2:4" x14ac:dyDescent="0.25">
      <c r="B44" s="4">
        <v>44530</v>
      </c>
      <c r="C44" s="5" t="s">
        <v>8</v>
      </c>
      <c r="D44" s="9">
        <v>500</v>
      </c>
    </row>
    <row r="45" spans="2:4" x14ac:dyDescent="0.25">
      <c r="B45" s="4">
        <v>44531</v>
      </c>
      <c r="C45" s="5" t="s">
        <v>4</v>
      </c>
      <c r="D45" s="10">
        <v>2500</v>
      </c>
    </row>
    <row r="46" spans="2:4" x14ac:dyDescent="0.25">
      <c r="B46" s="6">
        <v>44534</v>
      </c>
      <c r="C46" s="7" t="s">
        <v>5</v>
      </c>
      <c r="D46" s="9">
        <v>710</v>
      </c>
    </row>
    <row r="47" spans="2:4" x14ac:dyDescent="0.25">
      <c r="B47" s="4">
        <v>44537</v>
      </c>
      <c r="C47" s="5" t="s">
        <v>2</v>
      </c>
      <c r="D47" s="9">
        <v>2300</v>
      </c>
    </row>
    <row r="48" spans="2:4" x14ac:dyDescent="0.25">
      <c r="B48" s="4">
        <v>44539</v>
      </c>
      <c r="C48" s="5" t="s">
        <v>12</v>
      </c>
      <c r="D48" s="9">
        <v>12000</v>
      </c>
    </row>
    <row r="49" spans="2:4" x14ac:dyDescent="0.25">
      <c r="B49" s="4">
        <v>44545</v>
      </c>
      <c r="C49" s="7" t="s">
        <v>10</v>
      </c>
      <c r="D49" s="9">
        <v>1500</v>
      </c>
    </row>
    <row r="50" spans="2:4" x14ac:dyDescent="0.25">
      <c r="B50" s="4">
        <v>44547</v>
      </c>
      <c r="C50" s="5" t="s">
        <v>11</v>
      </c>
      <c r="D50" s="9">
        <v>470.63</v>
      </c>
    </row>
    <row r="51" spans="2:4" x14ac:dyDescent="0.25">
      <c r="B51" s="4">
        <v>44550</v>
      </c>
      <c r="C51" s="5" t="s">
        <v>7</v>
      </c>
      <c r="D51" s="9">
        <v>267</v>
      </c>
    </row>
    <row r="52" spans="2:4" x14ac:dyDescent="0.25">
      <c r="B52" s="4">
        <v>44553</v>
      </c>
      <c r="C52" s="5" t="s">
        <v>6</v>
      </c>
      <c r="D52" s="9">
        <v>640</v>
      </c>
    </row>
    <row r="53" spans="2:4" x14ac:dyDescent="0.25">
      <c r="B53" s="4">
        <v>44553</v>
      </c>
      <c r="C53" s="5" t="s">
        <v>5</v>
      </c>
      <c r="D53" s="9">
        <v>450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85B51-9937-4E0E-8512-6DBA093D8BAC}">
  <dimension ref="A1:G53"/>
  <sheetViews>
    <sheetView workbookViewId="0">
      <selection activeCell="F5" sqref="F5:G45"/>
    </sheetView>
  </sheetViews>
  <sheetFormatPr defaultColWidth="15.7109375" defaultRowHeight="18" customHeight="1" x14ac:dyDescent="0.25"/>
  <cols>
    <col min="3" max="3" width="23.5703125" customWidth="1"/>
    <col min="6" max="6" width="13.140625" bestFit="1" customWidth="1"/>
    <col min="7" max="7" width="15.140625" bestFit="1" customWidth="1"/>
  </cols>
  <sheetData>
    <row r="1" spans="1:7" ht="18" customHeight="1" x14ac:dyDescent="0.25">
      <c r="A1" t="s">
        <v>39</v>
      </c>
    </row>
    <row r="3" spans="1:7" ht="18" customHeight="1" x14ac:dyDescent="0.25">
      <c r="B3" s="3" t="s">
        <v>0</v>
      </c>
      <c r="C3" s="3" t="s">
        <v>14</v>
      </c>
      <c r="D3" s="8" t="s">
        <v>1</v>
      </c>
    </row>
    <row r="4" spans="1:7" ht="18" customHeight="1" x14ac:dyDescent="0.25">
      <c r="B4" s="4">
        <v>44470</v>
      </c>
      <c r="C4" s="5" t="s">
        <v>2</v>
      </c>
      <c r="D4" s="9">
        <v>2300</v>
      </c>
    </row>
    <row r="5" spans="1:7" ht="18" customHeight="1" x14ac:dyDescent="0.25">
      <c r="B5" s="6">
        <v>44470</v>
      </c>
      <c r="C5" s="7" t="s">
        <v>3</v>
      </c>
      <c r="D5" s="9">
        <v>767</v>
      </c>
      <c r="F5" s="14" t="s">
        <v>25</v>
      </c>
      <c r="G5" t="s">
        <v>27</v>
      </c>
    </row>
    <row r="6" spans="1:7" ht="18" customHeight="1" x14ac:dyDescent="0.25">
      <c r="B6" s="6">
        <v>44470</v>
      </c>
      <c r="C6" s="7" t="s">
        <v>4</v>
      </c>
      <c r="D6" s="10">
        <v>2500</v>
      </c>
      <c r="F6" s="15" t="s">
        <v>40</v>
      </c>
      <c r="G6">
        <v>5567</v>
      </c>
    </row>
    <row r="7" spans="1:7" ht="18" customHeight="1" x14ac:dyDescent="0.25">
      <c r="B7" s="6">
        <v>44473</v>
      </c>
      <c r="C7" s="7" t="s">
        <v>5</v>
      </c>
      <c r="D7" s="9">
        <v>710</v>
      </c>
      <c r="F7" s="15" t="s">
        <v>41</v>
      </c>
      <c r="G7">
        <v>1470</v>
      </c>
    </row>
    <row r="8" spans="1:7" ht="18" customHeight="1" x14ac:dyDescent="0.25">
      <c r="B8" s="4">
        <v>44473</v>
      </c>
      <c r="C8" s="5" t="s">
        <v>6</v>
      </c>
      <c r="D8" s="9">
        <v>760</v>
      </c>
      <c r="F8" s="15" t="s">
        <v>42</v>
      </c>
      <c r="G8">
        <v>1900</v>
      </c>
    </row>
    <row r="9" spans="1:7" ht="18" customHeight="1" x14ac:dyDescent="0.25">
      <c r="B9" s="6">
        <v>44476</v>
      </c>
      <c r="C9" s="7" t="s">
        <v>10</v>
      </c>
      <c r="D9" s="10">
        <v>1900</v>
      </c>
      <c r="F9" s="15" t="s">
        <v>43</v>
      </c>
      <c r="G9">
        <v>450</v>
      </c>
    </row>
    <row r="10" spans="1:7" ht="18" customHeight="1" x14ac:dyDescent="0.25">
      <c r="B10" s="4">
        <v>44477</v>
      </c>
      <c r="C10" s="5" t="s">
        <v>7</v>
      </c>
      <c r="D10" s="9">
        <v>450</v>
      </c>
      <c r="F10" s="15" t="s">
        <v>44</v>
      </c>
      <c r="G10">
        <v>620</v>
      </c>
    </row>
    <row r="11" spans="1:7" ht="18" customHeight="1" x14ac:dyDescent="0.25">
      <c r="B11" s="6">
        <v>44484</v>
      </c>
      <c r="C11" s="7" t="s">
        <v>8</v>
      </c>
      <c r="D11" s="9">
        <v>620</v>
      </c>
      <c r="F11" s="15" t="s">
        <v>45</v>
      </c>
      <c r="G11">
        <v>470</v>
      </c>
    </row>
    <row r="12" spans="1:7" ht="18" customHeight="1" x14ac:dyDescent="0.25">
      <c r="B12" s="6">
        <v>44485</v>
      </c>
      <c r="C12" s="7" t="s">
        <v>11</v>
      </c>
      <c r="D12" s="9">
        <v>470</v>
      </c>
      <c r="F12" s="15" t="s">
        <v>46</v>
      </c>
      <c r="G12">
        <v>2045</v>
      </c>
    </row>
    <row r="13" spans="1:7" ht="18" customHeight="1" x14ac:dyDescent="0.25">
      <c r="B13" s="6">
        <v>44487</v>
      </c>
      <c r="C13" s="7" t="s">
        <v>3</v>
      </c>
      <c r="D13" s="9">
        <v>970</v>
      </c>
      <c r="F13" s="15" t="s">
        <v>47</v>
      </c>
      <c r="G13">
        <v>489</v>
      </c>
    </row>
    <row r="14" spans="1:7" ht="18" customHeight="1" x14ac:dyDescent="0.25">
      <c r="B14" s="6">
        <v>44487</v>
      </c>
      <c r="C14" s="5" t="s">
        <v>2</v>
      </c>
      <c r="D14" s="10">
        <v>1075</v>
      </c>
      <c r="F14" s="15" t="s">
        <v>48</v>
      </c>
      <c r="G14">
        <v>2124.1</v>
      </c>
    </row>
    <row r="15" spans="1:7" ht="18" customHeight="1" x14ac:dyDescent="0.25">
      <c r="B15" s="6">
        <v>44488</v>
      </c>
      <c r="C15" s="7" t="s">
        <v>7</v>
      </c>
      <c r="D15" s="9">
        <v>489</v>
      </c>
      <c r="F15" s="15" t="s">
        <v>49</v>
      </c>
      <c r="G15">
        <v>423</v>
      </c>
    </row>
    <row r="16" spans="1:7" ht="18" customHeight="1" x14ac:dyDescent="0.25">
      <c r="B16" s="6">
        <v>44491</v>
      </c>
      <c r="C16" s="7" t="s">
        <v>4</v>
      </c>
      <c r="D16" s="10">
        <v>1574.1</v>
      </c>
      <c r="F16" s="15" t="s">
        <v>50</v>
      </c>
      <c r="G16">
        <v>878.22</v>
      </c>
    </row>
    <row r="17" spans="2:7" ht="18" customHeight="1" x14ac:dyDescent="0.25">
      <c r="B17" s="6">
        <v>44491</v>
      </c>
      <c r="C17" s="7" t="s">
        <v>6</v>
      </c>
      <c r="D17" s="9">
        <v>550</v>
      </c>
      <c r="F17" s="15" t="s">
        <v>51</v>
      </c>
      <c r="G17">
        <v>300</v>
      </c>
    </row>
    <row r="18" spans="2:7" ht="18" customHeight="1" x14ac:dyDescent="0.25">
      <c r="B18" s="6">
        <v>44494</v>
      </c>
      <c r="C18" s="7" t="s">
        <v>9</v>
      </c>
      <c r="D18" s="9">
        <v>423</v>
      </c>
      <c r="F18" s="15" t="s">
        <v>52</v>
      </c>
      <c r="G18">
        <v>407.05</v>
      </c>
    </row>
    <row r="19" spans="2:7" ht="18" customHeight="1" x14ac:dyDescent="0.25">
      <c r="B19" s="6">
        <v>44496</v>
      </c>
      <c r="C19" s="7" t="s">
        <v>9</v>
      </c>
      <c r="D19" s="9">
        <v>358.22</v>
      </c>
      <c r="F19" s="15" t="s">
        <v>53</v>
      </c>
      <c r="G19">
        <v>300</v>
      </c>
    </row>
    <row r="20" spans="2:7" ht="18" customHeight="1" x14ac:dyDescent="0.25">
      <c r="B20" s="6">
        <v>44496</v>
      </c>
      <c r="C20" s="7" t="s">
        <v>8</v>
      </c>
      <c r="D20" s="9">
        <v>520</v>
      </c>
      <c r="F20" s="15" t="s">
        <v>54</v>
      </c>
      <c r="G20">
        <v>2327</v>
      </c>
    </row>
    <row r="21" spans="2:7" ht="18" customHeight="1" x14ac:dyDescent="0.25">
      <c r="B21" s="4">
        <v>44497</v>
      </c>
      <c r="C21" s="5" t="s">
        <v>5</v>
      </c>
      <c r="D21" s="9">
        <v>300</v>
      </c>
      <c r="F21" s="15" t="s">
        <v>55</v>
      </c>
      <c r="G21">
        <v>1150</v>
      </c>
    </row>
    <row r="22" spans="2:7" ht="18" customHeight="1" x14ac:dyDescent="0.25">
      <c r="B22" s="4">
        <v>44498</v>
      </c>
      <c r="C22" s="5" t="s">
        <v>9</v>
      </c>
      <c r="D22" s="9">
        <v>407.05</v>
      </c>
      <c r="F22" s="15" t="s">
        <v>56</v>
      </c>
      <c r="G22">
        <v>1138</v>
      </c>
    </row>
    <row r="23" spans="2:7" ht="18" customHeight="1" x14ac:dyDescent="0.25">
      <c r="B23" s="4">
        <v>44499</v>
      </c>
      <c r="C23" s="5" t="s">
        <v>4</v>
      </c>
      <c r="D23" s="9">
        <v>300</v>
      </c>
      <c r="F23" s="15" t="s">
        <v>57</v>
      </c>
      <c r="G23">
        <v>500</v>
      </c>
    </row>
    <row r="24" spans="2:7" ht="18" customHeight="1" x14ac:dyDescent="0.25">
      <c r="B24" s="6">
        <v>44501</v>
      </c>
      <c r="C24" s="7" t="s">
        <v>3</v>
      </c>
      <c r="D24" s="10">
        <v>2327</v>
      </c>
      <c r="F24" s="15" t="s">
        <v>58</v>
      </c>
      <c r="G24">
        <v>702</v>
      </c>
    </row>
    <row r="25" spans="2:7" ht="18" customHeight="1" x14ac:dyDescent="0.25">
      <c r="B25" s="6">
        <v>44502</v>
      </c>
      <c r="C25" s="7" t="s">
        <v>10</v>
      </c>
      <c r="D25" s="9">
        <v>1150</v>
      </c>
      <c r="F25" s="15" t="s">
        <v>59</v>
      </c>
      <c r="G25">
        <v>1600</v>
      </c>
    </row>
    <row r="26" spans="2:7" ht="18" customHeight="1" x14ac:dyDescent="0.25">
      <c r="B26" s="6">
        <v>44504</v>
      </c>
      <c r="C26" s="7" t="s">
        <v>10</v>
      </c>
      <c r="D26" s="10">
        <v>1138</v>
      </c>
      <c r="F26" s="15" t="s">
        <v>60</v>
      </c>
      <c r="G26">
        <v>600</v>
      </c>
    </row>
    <row r="27" spans="2:7" ht="18" customHeight="1" x14ac:dyDescent="0.25">
      <c r="B27" s="4">
        <v>44505</v>
      </c>
      <c r="C27" s="5" t="s">
        <v>13</v>
      </c>
      <c r="D27" s="9">
        <v>500</v>
      </c>
      <c r="F27" s="15" t="s">
        <v>61</v>
      </c>
      <c r="G27">
        <v>3150</v>
      </c>
    </row>
    <row r="28" spans="2:7" ht="18" customHeight="1" x14ac:dyDescent="0.25">
      <c r="B28" s="4">
        <v>44508</v>
      </c>
      <c r="C28" s="5" t="s">
        <v>6</v>
      </c>
      <c r="D28" s="9">
        <v>702</v>
      </c>
      <c r="F28" s="15" t="s">
        <v>62</v>
      </c>
      <c r="G28">
        <v>793.27</v>
      </c>
    </row>
    <row r="29" spans="2:7" ht="18" customHeight="1" x14ac:dyDescent="0.25">
      <c r="B29" s="6">
        <v>44509</v>
      </c>
      <c r="C29" s="7" t="s">
        <v>4</v>
      </c>
      <c r="D29" s="10">
        <v>1600</v>
      </c>
      <c r="F29" s="15" t="s">
        <v>63</v>
      </c>
      <c r="G29">
        <v>428</v>
      </c>
    </row>
    <row r="30" spans="2:7" ht="18" customHeight="1" x14ac:dyDescent="0.25">
      <c r="B30" s="6">
        <v>44512</v>
      </c>
      <c r="C30" s="7" t="s">
        <v>5</v>
      </c>
      <c r="D30" s="9">
        <v>600</v>
      </c>
      <c r="F30" s="15" t="s">
        <v>64</v>
      </c>
      <c r="G30">
        <v>447</v>
      </c>
    </row>
    <row r="31" spans="2:7" ht="18" customHeight="1" x14ac:dyDescent="0.25">
      <c r="B31" s="4">
        <v>44515</v>
      </c>
      <c r="C31" s="5" t="s">
        <v>13</v>
      </c>
      <c r="D31" s="9">
        <v>900</v>
      </c>
      <c r="F31" s="15" t="s">
        <v>65</v>
      </c>
      <c r="G31">
        <v>1720</v>
      </c>
    </row>
    <row r="32" spans="2:7" ht="18" customHeight="1" x14ac:dyDescent="0.25">
      <c r="B32" s="6">
        <v>44515</v>
      </c>
      <c r="C32" s="5" t="s">
        <v>6</v>
      </c>
      <c r="D32" s="9">
        <v>150</v>
      </c>
      <c r="F32" s="15" t="s">
        <v>66</v>
      </c>
      <c r="G32">
        <v>540</v>
      </c>
    </row>
    <row r="33" spans="2:7" ht="18" customHeight="1" x14ac:dyDescent="0.25">
      <c r="B33" s="4">
        <v>44515</v>
      </c>
      <c r="C33" s="5" t="s">
        <v>2</v>
      </c>
      <c r="D33" s="9">
        <v>2100</v>
      </c>
      <c r="F33" s="15" t="s">
        <v>67</v>
      </c>
      <c r="G33">
        <v>314</v>
      </c>
    </row>
    <row r="34" spans="2:7" ht="18" customHeight="1" x14ac:dyDescent="0.25">
      <c r="B34" s="4">
        <v>44517</v>
      </c>
      <c r="C34" s="5" t="s">
        <v>11</v>
      </c>
      <c r="D34" s="9">
        <v>470.63</v>
      </c>
      <c r="F34" s="15" t="s">
        <v>68</v>
      </c>
      <c r="G34">
        <v>2518</v>
      </c>
    </row>
    <row r="35" spans="2:7" ht="18" customHeight="1" x14ac:dyDescent="0.25">
      <c r="B35" s="4">
        <v>44517</v>
      </c>
      <c r="C35" s="5" t="s">
        <v>9</v>
      </c>
      <c r="D35" s="9">
        <v>322.64</v>
      </c>
      <c r="F35" s="15" t="s">
        <v>69</v>
      </c>
      <c r="G35">
        <v>337</v>
      </c>
    </row>
    <row r="36" spans="2:7" ht="18" customHeight="1" x14ac:dyDescent="0.25">
      <c r="B36" s="4">
        <v>44518</v>
      </c>
      <c r="C36" s="7" t="s">
        <v>8</v>
      </c>
      <c r="D36" s="9">
        <v>428</v>
      </c>
      <c r="F36" s="15" t="s">
        <v>70</v>
      </c>
      <c r="G36">
        <v>500</v>
      </c>
    </row>
    <row r="37" spans="2:7" ht="18" customHeight="1" x14ac:dyDescent="0.25">
      <c r="B37" s="4">
        <v>44519</v>
      </c>
      <c r="C37" s="5" t="s">
        <v>5</v>
      </c>
      <c r="D37" s="9">
        <v>447</v>
      </c>
      <c r="F37" s="15" t="s">
        <v>71</v>
      </c>
      <c r="G37">
        <v>2500</v>
      </c>
    </row>
    <row r="38" spans="2:7" ht="18" customHeight="1" x14ac:dyDescent="0.25">
      <c r="B38" s="4">
        <v>44522</v>
      </c>
      <c r="C38" s="5" t="s">
        <v>4</v>
      </c>
      <c r="D38" s="10">
        <v>1720</v>
      </c>
      <c r="F38" s="15" t="s">
        <v>72</v>
      </c>
      <c r="G38">
        <v>710</v>
      </c>
    </row>
    <row r="39" spans="2:7" ht="18" customHeight="1" x14ac:dyDescent="0.25">
      <c r="B39" s="6">
        <v>44524</v>
      </c>
      <c r="C39" s="7" t="s">
        <v>6</v>
      </c>
      <c r="D39" s="9">
        <v>540</v>
      </c>
      <c r="F39" s="15" t="s">
        <v>73</v>
      </c>
      <c r="G39">
        <v>2300</v>
      </c>
    </row>
    <row r="40" spans="2:7" ht="18" customHeight="1" x14ac:dyDescent="0.25">
      <c r="B40" s="4">
        <v>44525</v>
      </c>
      <c r="C40" s="5" t="s">
        <v>7</v>
      </c>
      <c r="D40" s="9">
        <v>314</v>
      </c>
      <c r="F40" s="15" t="s">
        <v>74</v>
      </c>
      <c r="G40">
        <v>12000</v>
      </c>
    </row>
    <row r="41" spans="2:7" ht="18" customHeight="1" x14ac:dyDescent="0.25">
      <c r="B41" s="4">
        <v>44526</v>
      </c>
      <c r="C41" s="5" t="s">
        <v>8</v>
      </c>
      <c r="D41" s="9">
        <v>518</v>
      </c>
      <c r="F41" s="15" t="s">
        <v>75</v>
      </c>
      <c r="G41">
        <v>1500</v>
      </c>
    </row>
    <row r="42" spans="2:7" ht="18" customHeight="1" x14ac:dyDescent="0.25">
      <c r="B42" s="4">
        <v>44526</v>
      </c>
      <c r="C42" s="7" t="s">
        <v>3</v>
      </c>
      <c r="D42" s="10">
        <v>2000</v>
      </c>
      <c r="F42" s="15" t="s">
        <v>76</v>
      </c>
      <c r="G42">
        <v>470.63</v>
      </c>
    </row>
    <row r="43" spans="2:7" ht="18" customHeight="1" x14ac:dyDescent="0.25">
      <c r="B43" s="6">
        <v>44529</v>
      </c>
      <c r="C43" s="7" t="s">
        <v>7</v>
      </c>
      <c r="D43" s="9">
        <v>337</v>
      </c>
      <c r="F43" s="15" t="s">
        <v>77</v>
      </c>
      <c r="G43">
        <v>267</v>
      </c>
    </row>
    <row r="44" spans="2:7" ht="18" customHeight="1" x14ac:dyDescent="0.25">
      <c r="B44" s="4">
        <v>44530</v>
      </c>
      <c r="C44" s="5" t="s">
        <v>8</v>
      </c>
      <c r="D44" s="9">
        <v>500</v>
      </c>
      <c r="F44" s="15" t="s">
        <v>78</v>
      </c>
      <c r="G44">
        <v>1090</v>
      </c>
    </row>
    <row r="45" spans="2:7" ht="18" customHeight="1" x14ac:dyDescent="0.25">
      <c r="B45" s="4">
        <v>44531</v>
      </c>
      <c r="C45" s="5" t="s">
        <v>4</v>
      </c>
      <c r="D45" s="10">
        <v>2500</v>
      </c>
      <c r="F45" s="15" t="s">
        <v>26</v>
      </c>
      <c r="G45">
        <v>57045.27</v>
      </c>
    </row>
    <row r="46" spans="2:7" ht="18" customHeight="1" x14ac:dyDescent="0.25">
      <c r="B46" s="6">
        <v>44534</v>
      </c>
      <c r="C46" s="7" t="s">
        <v>5</v>
      </c>
      <c r="D46" s="9">
        <v>710</v>
      </c>
    </row>
    <row r="47" spans="2:7" ht="18" customHeight="1" x14ac:dyDescent="0.25">
      <c r="B47" s="4">
        <v>44537</v>
      </c>
      <c r="C47" s="5" t="s">
        <v>2</v>
      </c>
      <c r="D47" s="9">
        <v>2300</v>
      </c>
    </row>
    <row r="48" spans="2:7" ht="18" customHeight="1" x14ac:dyDescent="0.25">
      <c r="B48" s="4">
        <v>44539</v>
      </c>
      <c r="C48" s="5" t="s">
        <v>12</v>
      </c>
      <c r="D48" s="9">
        <v>12000</v>
      </c>
    </row>
    <row r="49" spans="2:4" ht="18" customHeight="1" x14ac:dyDescent="0.25">
      <c r="B49" s="4">
        <v>44545</v>
      </c>
      <c r="C49" s="7" t="s">
        <v>10</v>
      </c>
      <c r="D49" s="9">
        <v>1500</v>
      </c>
    </row>
    <row r="50" spans="2:4" ht="18" customHeight="1" x14ac:dyDescent="0.25">
      <c r="B50" s="4">
        <v>44547</v>
      </c>
      <c r="C50" s="5" t="s">
        <v>11</v>
      </c>
      <c r="D50" s="9">
        <v>470.63</v>
      </c>
    </row>
    <row r="51" spans="2:4" ht="18" customHeight="1" x14ac:dyDescent="0.25">
      <c r="B51" s="4">
        <v>44550</v>
      </c>
      <c r="C51" s="5" t="s">
        <v>7</v>
      </c>
      <c r="D51" s="9">
        <v>267</v>
      </c>
    </row>
    <row r="52" spans="2:4" ht="18" customHeight="1" x14ac:dyDescent="0.25">
      <c r="B52" s="4">
        <v>44553</v>
      </c>
      <c r="C52" s="5" t="s">
        <v>6</v>
      </c>
      <c r="D52" s="9">
        <v>640</v>
      </c>
    </row>
    <row r="53" spans="2:4" ht="18" customHeight="1" x14ac:dyDescent="0.25">
      <c r="B53" s="4">
        <v>44553</v>
      </c>
      <c r="C53" s="5" t="s">
        <v>5</v>
      </c>
      <c r="D53" s="9">
        <v>450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C1A35-220B-4C1F-A933-25A4420B1FCB}">
  <dimension ref="A1:H54"/>
  <sheetViews>
    <sheetView workbookViewId="0">
      <selection activeCell="G29" sqref="G29"/>
    </sheetView>
  </sheetViews>
  <sheetFormatPr defaultColWidth="18.28515625" defaultRowHeight="30" customHeight="1" x14ac:dyDescent="0.25"/>
  <sheetData>
    <row r="1" spans="1:8" ht="30" customHeight="1" x14ac:dyDescent="0.25">
      <c r="A1" t="s">
        <v>36</v>
      </c>
    </row>
    <row r="3" spans="1:8" ht="30" customHeight="1" x14ac:dyDescent="0.25">
      <c r="H3" t="s">
        <v>37</v>
      </c>
    </row>
    <row r="4" spans="1:8" ht="30" customHeight="1" x14ac:dyDescent="0.25">
      <c r="B4" s="3" t="s">
        <v>0</v>
      </c>
      <c r="C4" s="3" t="s">
        <v>14</v>
      </c>
      <c r="D4" s="8" t="s">
        <v>1</v>
      </c>
      <c r="E4" s="16" t="s">
        <v>35</v>
      </c>
      <c r="H4" t="s">
        <v>38</v>
      </c>
    </row>
    <row r="5" spans="1:8" ht="30" customHeight="1" x14ac:dyDescent="0.25">
      <c r="B5" s="4">
        <v>44470</v>
      </c>
      <c r="C5" s="5" t="s">
        <v>2</v>
      </c>
      <c r="D5" s="9">
        <v>2300</v>
      </c>
      <c r="E5" t="s">
        <v>37</v>
      </c>
    </row>
    <row r="6" spans="1:8" ht="30" customHeight="1" x14ac:dyDescent="0.25">
      <c r="B6" s="6">
        <v>44470</v>
      </c>
      <c r="C6" s="7" t="s">
        <v>3</v>
      </c>
      <c r="D6" s="9">
        <v>767</v>
      </c>
      <c r="E6" t="s">
        <v>38</v>
      </c>
    </row>
    <row r="7" spans="1:8" ht="30" customHeight="1" x14ac:dyDescent="0.25">
      <c r="B7" s="6">
        <v>44470</v>
      </c>
      <c r="C7" s="7" t="s">
        <v>4</v>
      </c>
      <c r="D7" s="10">
        <v>2500</v>
      </c>
      <c r="E7" t="s">
        <v>38</v>
      </c>
    </row>
    <row r="8" spans="1:8" ht="30" customHeight="1" x14ac:dyDescent="0.25">
      <c r="B8" s="6">
        <v>44473</v>
      </c>
      <c r="C8" s="7" t="s">
        <v>5</v>
      </c>
      <c r="D8" s="9">
        <v>710</v>
      </c>
      <c r="E8" t="s">
        <v>37</v>
      </c>
    </row>
    <row r="9" spans="1:8" ht="30" customHeight="1" x14ac:dyDescent="0.25">
      <c r="B9" s="4">
        <v>44473</v>
      </c>
      <c r="C9" s="5" t="s">
        <v>6</v>
      </c>
      <c r="D9" s="9">
        <v>760</v>
      </c>
      <c r="E9" t="s">
        <v>37</v>
      </c>
    </row>
    <row r="10" spans="1:8" ht="30" customHeight="1" x14ac:dyDescent="0.25">
      <c r="B10" s="6">
        <v>44476</v>
      </c>
      <c r="C10" s="7" t="s">
        <v>10</v>
      </c>
      <c r="D10" s="10">
        <v>1900</v>
      </c>
      <c r="E10" t="s">
        <v>38</v>
      </c>
    </row>
    <row r="11" spans="1:8" ht="30" customHeight="1" x14ac:dyDescent="0.25">
      <c r="B11" s="4">
        <v>44477</v>
      </c>
      <c r="C11" s="5" t="s">
        <v>7</v>
      </c>
      <c r="D11" s="9">
        <v>450</v>
      </c>
      <c r="E11" t="s">
        <v>38</v>
      </c>
    </row>
    <row r="12" spans="1:8" ht="30" customHeight="1" x14ac:dyDescent="0.25">
      <c r="B12" s="6">
        <v>44484</v>
      </c>
      <c r="C12" s="7" t="s">
        <v>8</v>
      </c>
      <c r="D12" s="9">
        <v>620</v>
      </c>
      <c r="E12" t="s">
        <v>38</v>
      </c>
    </row>
    <row r="13" spans="1:8" ht="30" customHeight="1" x14ac:dyDescent="0.25">
      <c r="B13" s="6">
        <v>44485</v>
      </c>
      <c r="C13" s="7" t="s">
        <v>11</v>
      </c>
      <c r="D13" s="9">
        <v>470</v>
      </c>
      <c r="E13" t="s">
        <v>37</v>
      </c>
    </row>
    <row r="14" spans="1:8" ht="30" customHeight="1" x14ac:dyDescent="0.25">
      <c r="B14" s="6">
        <v>44487</v>
      </c>
      <c r="C14" s="7" t="s">
        <v>3</v>
      </c>
      <c r="D14" s="9">
        <v>970</v>
      </c>
      <c r="E14" t="s">
        <v>38</v>
      </c>
    </row>
    <row r="15" spans="1:8" ht="30" customHeight="1" x14ac:dyDescent="0.25">
      <c r="B15" s="6">
        <v>44487</v>
      </c>
      <c r="C15" s="5" t="s">
        <v>2</v>
      </c>
      <c r="D15" s="10">
        <v>1075</v>
      </c>
      <c r="E15" t="s">
        <v>37</v>
      </c>
    </row>
    <row r="16" spans="1:8" ht="30" customHeight="1" x14ac:dyDescent="0.25">
      <c r="B16" s="6">
        <v>44488</v>
      </c>
      <c r="C16" s="7" t="s">
        <v>7</v>
      </c>
      <c r="D16" s="9">
        <v>489</v>
      </c>
      <c r="E16" t="s">
        <v>38</v>
      </c>
    </row>
    <row r="17" spans="2:5" ht="30" customHeight="1" x14ac:dyDescent="0.25">
      <c r="B17" s="6">
        <v>44491</v>
      </c>
      <c r="C17" s="7" t="s">
        <v>4</v>
      </c>
      <c r="D17" s="10">
        <v>1574.1</v>
      </c>
      <c r="E17" t="s">
        <v>38</v>
      </c>
    </row>
    <row r="18" spans="2:5" ht="30" customHeight="1" x14ac:dyDescent="0.25">
      <c r="B18" s="6">
        <v>44491</v>
      </c>
      <c r="C18" s="7" t="s">
        <v>6</v>
      </c>
      <c r="D18" s="9">
        <v>550</v>
      </c>
      <c r="E18" t="s">
        <v>38</v>
      </c>
    </row>
    <row r="19" spans="2:5" ht="30" customHeight="1" x14ac:dyDescent="0.25">
      <c r="B19" s="6">
        <v>44494</v>
      </c>
      <c r="C19" s="7" t="s">
        <v>9</v>
      </c>
      <c r="D19" s="9">
        <v>423</v>
      </c>
      <c r="E19" t="s">
        <v>38</v>
      </c>
    </row>
    <row r="20" spans="2:5" ht="30" customHeight="1" x14ac:dyDescent="0.25">
      <c r="B20" s="6">
        <v>44496</v>
      </c>
      <c r="C20" s="7" t="s">
        <v>9</v>
      </c>
      <c r="D20" s="9">
        <v>358.22</v>
      </c>
      <c r="E20" t="s">
        <v>38</v>
      </c>
    </row>
    <row r="21" spans="2:5" ht="30" customHeight="1" x14ac:dyDescent="0.25">
      <c r="B21" s="6">
        <v>44496</v>
      </c>
      <c r="C21" s="7" t="s">
        <v>8</v>
      </c>
      <c r="D21" s="9">
        <v>520</v>
      </c>
      <c r="E21" t="s">
        <v>38</v>
      </c>
    </row>
    <row r="22" spans="2:5" ht="30" customHeight="1" x14ac:dyDescent="0.25">
      <c r="B22" s="4">
        <v>44497</v>
      </c>
      <c r="C22" s="5" t="s">
        <v>5</v>
      </c>
      <c r="D22" s="9">
        <v>300</v>
      </c>
      <c r="E22" t="s">
        <v>38</v>
      </c>
    </row>
    <row r="23" spans="2:5" ht="30" customHeight="1" x14ac:dyDescent="0.25">
      <c r="B23" s="4">
        <v>44498</v>
      </c>
      <c r="C23" s="5" t="s">
        <v>9</v>
      </c>
      <c r="D23" s="9">
        <v>407.05</v>
      </c>
      <c r="E23" t="s">
        <v>38</v>
      </c>
    </row>
    <row r="24" spans="2:5" ht="30" customHeight="1" x14ac:dyDescent="0.25">
      <c r="B24" s="4">
        <v>44499</v>
      </c>
      <c r="C24" s="5" t="s">
        <v>4</v>
      </c>
      <c r="D24" s="9">
        <v>300</v>
      </c>
      <c r="E24" t="s">
        <v>38</v>
      </c>
    </row>
    <row r="25" spans="2:5" ht="30" customHeight="1" x14ac:dyDescent="0.25">
      <c r="B25" s="6">
        <v>44501</v>
      </c>
      <c r="C25" s="7" t="s">
        <v>3</v>
      </c>
      <c r="D25" s="10">
        <v>2327</v>
      </c>
      <c r="E25" t="s">
        <v>38</v>
      </c>
    </row>
    <row r="26" spans="2:5" ht="30" customHeight="1" x14ac:dyDescent="0.25">
      <c r="B26" s="6">
        <v>44502</v>
      </c>
      <c r="C26" s="7" t="s">
        <v>10</v>
      </c>
      <c r="D26" s="9">
        <v>1150</v>
      </c>
      <c r="E26" t="s">
        <v>38</v>
      </c>
    </row>
    <row r="27" spans="2:5" ht="30" customHeight="1" x14ac:dyDescent="0.25">
      <c r="B27" s="6">
        <v>44504</v>
      </c>
      <c r="C27" s="7" t="s">
        <v>10</v>
      </c>
      <c r="D27" s="10">
        <v>1138</v>
      </c>
      <c r="E27" t="s">
        <v>38</v>
      </c>
    </row>
    <row r="28" spans="2:5" ht="30" customHeight="1" x14ac:dyDescent="0.25">
      <c r="B28" s="4">
        <v>44505</v>
      </c>
      <c r="C28" s="5" t="s">
        <v>13</v>
      </c>
      <c r="D28" s="9">
        <v>500</v>
      </c>
      <c r="E28" t="s">
        <v>38</v>
      </c>
    </row>
    <row r="29" spans="2:5" ht="30" customHeight="1" x14ac:dyDescent="0.25">
      <c r="B29" s="4">
        <v>44508</v>
      </c>
      <c r="C29" s="5" t="s">
        <v>6</v>
      </c>
      <c r="D29" s="9">
        <v>702</v>
      </c>
      <c r="E29" t="s">
        <v>38</v>
      </c>
    </row>
    <row r="30" spans="2:5" ht="30" customHeight="1" x14ac:dyDescent="0.25">
      <c r="B30" s="6">
        <v>44509</v>
      </c>
      <c r="C30" s="7" t="s">
        <v>4</v>
      </c>
      <c r="D30" s="10">
        <v>1600</v>
      </c>
      <c r="E30" t="s">
        <v>38</v>
      </c>
    </row>
    <row r="31" spans="2:5" ht="30" customHeight="1" x14ac:dyDescent="0.25">
      <c r="B31" s="6">
        <v>44512</v>
      </c>
      <c r="C31" s="7" t="s">
        <v>5</v>
      </c>
      <c r="D31" s="9">
        <v>600</v>
      </c>
      <c r="E31" t="s">
        <v>37</v>
      </c>
    </row>
    <row r="32" spans="2:5" ht="30" customHeight="1" x14ac:dyDescent="0.25">
      <c r="B32" s="4">
        <v>44515</v>
      </c>
      <c r="C32" s="5" t="s">
        <v>13</v>
      </c>
      <c r="D32" s="9">
        <v>900</v>
      </c>
      <c r="E32" t="s">
        <v>38</v>
      </c>
    </row>
    <row r="33" spans="2:5" ht="30" customHeight="1" x14ac:dyDescent="0.25">
      <c r="B33" s="6">
        <v>44515</v>
      </c>
      <c r="C33" s="5" t="s">
        <v>6</v>
      </c>
      <c r="D33" s="9">
        <v>150</v>
      </c>
      <c r="E33" t="s">
        <v>37</v>
      </c>
    </row>
    <row r="34" spans="2:5" ht="30" customHeight="1" x14ac:dyDescent="0.25">
      <c r="B34" s="4">
        <v>44515</v>
      </c>
      <c r="C34" s="5" t="s">
        <v>2</v>
      </c>
      <c r="D34" s="9">
        <v>2100</v>
      </c>
      <c r="E34" t="s">
        <v>37</v>
      </c>
    </row>
    <row r="35" spans="2:5" ht="30" customHeight="1" x14ac:dyDescent="0.25">
      <c r="B35" s="4">
        <v>44517</v>
      </c>
      <c r="C35" s="5" t="s">
        <v>11</v>
      </c>
      <c r="D35" s="9">
        <v>470.63</v>
      </c>
      <c r="E35" t="s">
        <v>37</v>
      </c>
    </row>
    <row r="36" spans="2:5" ht="30" customHeight="1" x14ac:dyDescent="0.25">
      <c r="B36" s="4">
        <v>44517</v>
      </c>
      <c r="C36" s="5" t="s">
        <v>9</v>
      </c>
      <c r="D36" s="9">
        <v>322.64</v>
      </c>
      <c r="E36" t="s">
        <v>37</v>
      </c>
    </row>
    <row r="37" spans="2:5" ht="30" customHeight="1" x14ac:dyDescent="0.25">
      <c r="B37" s="4">
        <v>44518</v>
      </c>
      <c r="C37" s="7" t="s">
        <v>8</v>
      </c>
      <c r="D37" s="9">
        <v>428</v>
      </c>
      <c r="E37" t="s">
        <v>38</v>
      </c>
    </row>
    <row r="38" spans="2:5" ht="30" customHeight="1" x14ac:dyDescent="0.25">
      <c r="B38" s="4">
        <v>44519</v>
      </c>
      <c r="C38" s="5" t="s">
        <v>5</v>
      </c>
      <c r="D38" s="9">
        <v>447</v>
      </c>
      <c r="E38" t="s">
        <v>37</v>
      </c>
    </row>
    <row r="39" spans="2:5" ht="30" customHeight="1" x14ac:dyDescent="0.25">
      <c r="B39" s="4">
        <v>44522</v>
      </c>
      <c r="C39" s="5" t="s">
        <v>4</v>
      </c>
      <c r="D39" s="10">
        <v>1720</v>
      </c>
      <c r="E39" t="s">
        <v>38</v>
      </c>
    </row>
    <row r="40" spans="2:5" ht="30" customHeight="1" x14ac:dyDescent="0.25">
      <c r="B40" s="6">
        <v>44524</v>
      </c>
      <c r="C40" s="7" t="s">
        <v>6</v>
      </c>
      <c r="D40" s="9">
        <v>540</v>
      </c>
      <c r="E40" t="s">
        <v>37</v>
      </c>
    </row>
    <row r="41" spans="2:5" ht="30" customHeight="1" x14ac:dyDescent="0.25">
      <c r="B41" s="4">
        <v>44525</v>
      </c>
      <c r="C41" s="5" t="s">
        <v>7</v>
      </c>
      <c r="D41" s="9">
        <v>314</v>
      </c>
      <c r="E41" t="s">
        <v>37</v>
      </c>
    </row>
    <row r="42" spans="2:5" ht="30" customHeight="1" x14ac:dyDescent="0.25">
      <c r="B42" s="4">
        <v>44526</v>
      </c>
      <c r="C42" s="5" t="s">
        <v>8</v>
      </c>
      <c r="D42" s="9">
        <v>518</v>
      </c>
      <c r="E42" t="s">
        <v>38</v>
      </c>
    </row>
    <row r="43" spans="2:5" ht="30" customHeight="1" x14ac:dyDescent="0.25">
      <c r="B43" s="4">
        <v>44526</v>
      </c>
      <c r="C43" s="7" t="s">
        <v>3</v>
      </c>
      <c r="D43" s="10">
        <v>2000</v>
      </c>
      <c r="E43" t="s">
        <v>38</v>
      </c>
    </row>
    <row r="44" spans="2:5" ht="30" customHeight="1" x14ac:dyDescent="0.25">
      <c r="B44" s="6">
        <v>44529</v>
      </c>
      <c r="C44" s="7" t="s">
        <v>7</v>
      </c>
      <c r="D44" s="9">
        <v>337</v>
      </c>
      <c r="E44" t="s">
        <v>38</v>
      </c>
    </row>
    <row r="45" spans="2:5" ht="30" customHeight="1" x14ac:dyDescent="0.25">
      <c r="B45" s="4">
        <v>44530</v>
      </c>
      <c r="C45" s="5" t="s">
        <v>8</v>
      </c>
      <c r="D45" s="9">
        <v>500</v>
      </c>
      <c r="E45" t="s">
        <v>38</v>
      </c>
    </row>
    <row r="46" spans="2:5" ht="30" customHeight="1" x14ac:dyDescent="0.25">
      <c r="B46" s="4">
        <v>44531</v>
      </c>
      <c r="C46" s="5" t="s">
        <v>4</v>
      </c>
      <c r="D46" s="10">
        <v>2500</v>
      </c>
      <c r="E46" t="s">
        <v>38</v>
      </c>
    </row>
    <row r="47" spans="2:5" ht="30" customHeight="1" x14ac:dyDescent="0.25">
      <c r="B47" s="6">
        <v>44534</v>
      </c>
      <c r="C47" s="7" t="s">
        <v>5</v>
      </c>
      <c r="D47" s="9">
        <v>710</v>
      </c>
      <c r="E47" t="s">
        <v>37</v>
      </c>
    </row>
    <row r="48" spans="2:5" ht="30" customHeight="1" x14ac:dyDescent="0.25">
      <c r="B48" s="4">
        <v>44537</v>
      </c>
      <c r="C48" s="5" t="s">
        <v>2</v>
      </c>
      <c r="D48" s="9">
        <v>2300</v>
      </c>
      <c r="E48" t="s">
        <v>37</v>
      </c>
    </row>
    <row r="49" spans="2:5" ht="30" customHeight="1" x14ac:dyDescent="0.25">
      <c r="B49" s="4">
        <v>44539</v>
      </c>
      <c r="C49" s="5" t="s">
        <v>12</v>
      </c>
      <c r="D49" s="9">
        <v>12000</v>
      </c>
      <c r="E49" t="s">
        <v>38</v>
      </c>
    </row>
    <row r="50" spans="2:5" ht="30" customHeight="1" x14ac:dyDescent="0.25">
      <c r="B50" s="4">
        <v>44545</v>
      </c>
      <c r="C50" s="7" t="s">
        <v>10</v>
      </c>
      <c r="D50" s="9">
        <v>1500</v>
      </c>
      <c r="E50" t="s">
        <v>38</v>
      </c>
    </row>
    <row r="51" spans="2:5" ht="30" customHeight="1" x14ac:dyDescent="0.25">
      <c r="B51" s="4">
        <v>44547</v>
      </c>
      <c r="C51" s="5" t="s">
        <v>11</v>
      </c>
      <c r="D51" s="9">
        <v>470.63</v>
      </c>
      <c r="E51" t="s">
        <v>37</v>
      </c>
    </row>
    <row r="52" spans="2:5" ht="30" customHeight="1" x14ac:dyDescent="0.25">
      <c r="B52" s="4">
        <v>44550</v>
      </c>
      <c r="C52" s="5" t="s">
        <v>7</v>
      </c>
      <c r="D52" s="9">
        <v>267</v>
      </c>
      <c r="E52" t="s">
        <v>38</v>
      </c>
    </row>
    <row r="53" spans="2:5" ht="30" customHeight="1" x14ac:dyDescent="0.25">
      <c r="B53" s="4">
        <v>44553</v>
      </c>
      <c r="C53" s="5" t="s">
        <v>6</v>
      </c>
      <c r="D53" s="9">
        <v>640</v>
      </c>
      <c r="E53" t="s">
        <v>37</v>
      </c>
    </row>
    <row r="54" spans="2:5" ht="30" customHeight="1" x14ac:dyDescent="0.25">
      <c r="B54" s="4">
        <v>44553</v>
      </c>
      <c r="C54" s="5" t="s">
        <v>5</v>
      </c>
      <c r="D54" s="9">
        <v>450</v>
      </c>
      <c r="E54" t="s">
        <v>37</v>
      </c>
    </row>
  </sheetData>
  <dataValidations count="1">
    <dataValidation type="list" allowBlank="1" showInputMessage="1" showErrorMessage="1" sqref="E5:E54" xr:uid="{DAFCA88C-A593-4C85-B576-3C7D40309F18}">
      <formula1>$H$3:$H$4</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24940-F5B1-426F-9839-6A1BF11872B1}">
  <dimension ref="A1:E53"/>
  <sheetViews>
    <sheetView tabSelected="1" zoomScale="73" zoomScaleNormal="62" workbookViewId="0">
      <selection activeCell="A7" sqref="A7"/>
    </sheetView>
  </sheetViews>
  <sheetFormatPr defaultColWidth="23" defaultRowHeight="18.75" customHeight="1" x14ac:dyDescent="0.25"/>
  <cols>
    <col min="3" max="3" width="26.7109375" customWidth="1"/>
    <col min="5" max="5" width="27.28515625" customWidth="1"/>
  </cols>
  <sheetData>
    <row r="1" spans="1:5" ht="18.75" customHeight="1" x14ac:dyDescent="0.25">
      <c r="A1" t="s">
        <v>30</v>
      </c>
    </row>
    <row r="3" spans="1:5" ht="18.75" customHeight="1" x14ac:dyDescent="0.25">
      <c r="B3" s="3" t="s">
        <v>0</v>
      </c>
      <c r="C3" s="3" t="s">
        <v>14</v>
      </c>
      <c r="D3" s="8" t="s">
        <v>1</v>
      </c>
      <c r="E3" t="s">
        <v>31</v>
      </c>
    </row>
    <row r="4" spans="1:5" ht="18.75" customHeight="1" x14ac:dyDescent="0.25">
      <c r="B4" s="4">
        <v>44470</v>
      </c>
      <c r="C4" s="5" t="s">
        <v>2</v>
      </c>
      <c r="D4" s="9">
        <v>2300</v>
      </c>
      <c r="E4" t="str">
        <f>IF(D4&gt;2000,"Over Budget","within budget")</f>
        <v>Over Budget</v>
      </c>
    </row>
    <row r="5" spans="1:5" ht="18.75" customHeight="1" x14ac:dyDescent="0.25">
      <c r="B5" s="6">
        <v>44470</v>
      </c>
      <c r="C5" s="7" t="s">
        <v>3</v>
      </c>
      <c r="D5" s="9">
        <v>767</v>
      </c>
      <c r="E5" t="str">
        <f t="shared" ref="E5:E53" si="0">IF(D5&gt;2000,"Over Budget","within budget")</f>
        <v>within budget</v>
      </c>
    </row>
    <row r="6" spans="1:5" ht="18.75" customHeight="1" x14ac:dyDescent="0.25">
      <c r="B6" s="6">
        <v>44470</v>
      </c>
      <c r="C6" s="7" t="s">
        <v>4</v>
      </c>
      <c r="D6" s="10">
        <v>2500</v>
      </c>
      <c r="E6" t="str">
        <f t="shared" si="0"/>
        <v>Over Budget</v>
      </c>
    </row>
    <row r="7" spans="1:5" ht="18.75" customHeight="1" x14ac:dyDescent="0.25">
      <c r="B7" s="6">
        <v>44473</v>
      </c>
      <c r="C7" s="7" t="s">
        <v>5</v>
      </c>
      <c r="D7" s="9">
        <v>710</v>
      </c>
      <c r="E7" t="str">
        <f t="shared" si="0"/>
        <v>within budget</v>
      </c>
    </row>
    <row r="8" spans="1:5" ht="18.75" customHeight="1" x14ac:dyDescent="0.25">
      <c r="B8" s="4">
        <v>44473</v>
      </c>
      <c r="C8" s="5" t="s">
        <v>6</v>
      </c>
      <c r="D8" s="9">
        <v>760</v>
      </c>
      <c r="E8" t="str">
        <f t="shared" si="0"/>
        <v>within budget</v>
      </c>
    </row>
    <row r="9" spans="1:5" ht="18.75" customHeight="1" x14ac:dyDescent="0.25">
      <c r="B9" s="6">
        <v>44476</v>
      </c>
      <c r="C9" s="7" t="s">
        <v>10</v>
      </c>
      <c r="D9" s="10">
        <v>1900</v>
      </c>
      <c r="E9" t="str">
        <f t="shared" si="0"/>
        <v>within budget</v>
      </c>
    </row>
    <row r="10" spans="1:5" ht="18.75" customHeight="1" x14ac:dyDescent="0.25">
      <c r="B10" s="4">
        <v>44477</v>
      </c>
      <c r="C10" s="5" t="s">
        <v>7</v>
      </c>
      <c r="D10" s="9">
        <v>450</v>
      </c>
      <c r="E10" t="str">
        <f t="shared" si="0"/>
        <v>within budget</v>
      </c>
    </row>
    <row r="11" spans="1:5" ht="18.75" customHeight="1" x14ac:dyDescent="0.25">
      <c r="B11" s="6">
        <v>44484</v>
      </c>
      <c r="C11" s="7" t="s">
        <v>8</v>
      </c>
      <c r="D11" s="9">
        <v>620</v>
      </c>
      <c r="E11" t="str">
        <f t="shared" si="0"/>
        <v>within budget</v>
      </c>
    </row>
    <row r="12" spans="1:5" ht="18.75" customHeight="1" x14ac:dyDescent="0.25">
      <c r="B12" s="6">
        <v>44485</v>
      </c>
      <c r="C12" s="7" t="s">
        <v>11</v>
      </c>
      <c r="D12" s="9">
        <v>470</v>
      </c>
      <c r="E12" t="str">
        <f t="shared" si="0"/>
        <v>within budget</v>
      </c>
    </row>
    <row r="13" spans="1:5" ht="18.75" customHeight="1" x14ac:dyDescent="0.25">
      <c r="B13" s="6">
        <v>44487</v>
      </c>
      <c r="C13" s="7" t="s">
        <v>3</v>
      </c>
      <c r="D13" s="9">
        <v>970</v>
      </c>
      <c r="E13" t="str">
        <f t="shared" si="0"/>
        <v>within budget</v>
      </c>
    </row>
    <row r="14" spans="1:5" ht="18.75" customHeight="1" x14ac:dyDescent="0.25">
      <c r="B14" s="6">
        <v>44487</v>
      </c>
      <c r="C14" s="5" t="s">
        <v>2</v>
      </c>
      <c r="D14" s="10">
        <v>1075</v>
      </c>
      <c r="E14" t="str">
        <f t="shared" si="0"/>
        <v>within budget</v>
      </c>
    </row>
    <row r="15" spans="1:5" ht="18.75" customHeight="1" x14ac:dyDescent="0.25">
      <c r="B15" s="6">
        <v>44488</v>
      </c>
      <c r="C15" s="7" t="s">
        <v>7</v>
      </c>
      <c r="D15" s="9">
        <v>489</v>
      </c>
      <c r="E15" t="str">
        <f t="shared" si="0"/>
        <v>within budget</v>
      </c>
    </row>
    <row r="16" spans="1:5" ht="18.75" customHeight="1" x14ac:dyDescent="0.25">
      <c r="B16" s="6">
        <v>44491</v>
      </c>
      <c r="C16" s="7" t="s">
        <v>4</v>
      </c>
      <c r="D16" s="10">
        <v>1574.1</v>
      </c>
      <c r="E16" t="str">
        <f t="shared" si="0"/>
        <v>within budget</v>
      </c>
    </row>
    <row r="17" spans="2:5" ht="18.75" customHeight="1" x14ac:dyDescent="0.25">
      <c r="B17" s="6">
        <v>44491</v>
      </c>
      <c r="C17" s="7" t="s">
        <v>6</v>
      </c>
      <c r="D17" s="9">
        <v>550</v>
      </c>
      <c r="E17" t="str">
        <f t="shared" si="0"/>
        <v>within budget</v>
      </c>
    </row>
    <row r="18" spans="2:5" ht="18.75" customHeight="1" x14ac:dyDescent="0.25">
      <c r="B18" s="6">
        <v>44494</v>
      </c>
      <c r="C18" s="7" t="s">
        <v>9</v>
      </c>
      <c r="D18" s="9">
        <v>423</v>
      </c>
      <c r="E18" t="str">
        <f t="shared" si="0"/>
        <v>within budget</v>
      </c>
    </row>
    <row r="19" spans="2:5" ht="18.75" customHeight="1" x14ac:dyDescent="0.25">
      <c r="B19" s="6">
        <v>44496</v>
      </c>
      <c r="C19" s="7" t="s">
        <v>9</v>
      </c>
      <c r="D19" s="9">
        <v>358.22</v>
      </c>
      <c r="E19" t="str">
        <f t="shared" si="0"/>
        <v>within budget</v>
      </c>
    </row>
    <row r="20" spans="2:5" ht="18.75" customHeight="1" x14ac:dyDescent="0.25">
      <c r="B20" s="6">
        <v>44496</v>
      </c>
      <c r="C20" s="7" t="s">
        <v>8</v>
      </c>
      <c r="D20" s="9">
        <v>520</v>
      </c>
      <c r="E20" t="str">
        <f t="shared" si="0"/>
        <v>within budget</v>
      </c>
    </row>
    <row r="21" spans="2:5" ht="18.75" customHeight="1" x14ac:dyDescent="0.25">
      <c r="B21" s="4">
        <v>44497</v>
      </c>
      <c r="C21" s="5" t="s">
        <v>5</v>
      </c>
      <c r="D21" s="9">
        <v>300</v>
      </c>
      <c r="E21" t="str">
        <f t="shared" si="0"/>
        <v>within budget</v>
      </c>
    </row>
    <row r="22" spans="2:5" ht="18.75" customHeight="1" x14ac:dyDescent="0.25">
      <c r="B22" s="4">
        <v>44498</v>
      </c>
      <c r="C22" s="5" t="s">
        <v>9</v>
      </c>
      <c r="D22" s="9">
        <v>407.05</v>
      </c>
      <c r="E22" t="str">
        <f t="shared" si="0"/>
        <v>within budget</v>
      </c>
    </row>
    <row r="23" spans="2:5" ht="18.75" customHeight="1" x14ac:dyDescent="0.25">
      <c r="B23" s="4">
        <v>44499</v>
      </c>
      <c r="C23" s="5" t="s">
        <v>4</v>
      </c>
      <c r="D23" s="9">
        <v>300</v>
      </c>
      <c r="E23" t="str">
        <f t="shared" si="0"/>
        <v>within budget</v>
      </c>
    </row>
    <row r="24" spans="2:5" ht="18.75" customHeight="1" x14ac:dyDescent="0.25">
      <c r="B24" s="6">
        <v>44501</v>
      </c>
      <c r="C24" s="7" t="s">
        <v>3</v>
      </c>
      <c r="D24" s="10">
        <v>2327</v>
      </c>
      <c r="E24" t="str">
        <f t="shared" si="0"/>
        <v>Over Budget</v>
      </c>
    </row>
    <row r="25" spans="2:5" ht="18.75" customHeight="1" x14ac:dyDescent="0.25">
      <c r="B25" s="6">
        <v>44502</v>
      </c>
      <c r="C25" s="7" t="s">
        <v>10</v>
      </c>
      <c r="D25" s="9">
        <v>1150</v>
      </c>
      <c r="E25" t="str">
        <f t="shared" si="0"/>
        <v>within budget</v>
      </c>
    </row>
    <row r="26" spans="2:5" ht="18.75" customHeight="1" x14ac:dyDescent="0.25">
      <c r="B26" s="6">
        <v>44504</v>
      </c>
      <c r="C26" s="7" t="s">
        <v>10</v>
      </c>
      <c r="D26" s="10">
        <v>1138</v>
      </c>
      <c r="E26" t="str">
        <f t="shared" si="0"/>
        <v>within budget</v>
      </c>
    </row>
    <row r="27" spans="2:5" ht="18.75" customHeight="1" x14ac:dyDescent="0.25">
      <c r="B27" s="4">
        <v>44505</v>
      </c>
      <c r="C27" s="5" t="s">
        <v>13</v>
      </c>
      <c r="D27" s="9">
        <v>500</v>
      </c>
      <c r="E27" t="str">
        <f t="shared" si="0"/>
        <v>within budget</v>
      </c>
    </row>
    <row r="28" spans="2:5" ht="18.75" customHeight="1" x14ac:dyDescent="0.25">
      <c r="B28" s="4">
        <v>44508</v>
      </c>
      <c r="C28" s="5" t="s">
        <v>6</v>
      </c>
      <c r="D28" s="9">
        <v>702</v>
      </c>
      <c r="E28" t="str">
        <f t="shared" si="0"/>
        <v>within budget</v>
      </c>
    </row>
    <row r="29" spans="2:5" ht="18.75" customHeight="1" x14ac:dyDescent="0.25">
      <c r="B29" s="6">
        <v>44509</v>
      </c>
      <c r="C29" s="7" t="s">
        <v>4</v>
      </c>
      <c r="D29" s="10">
        <v>1600</v>
      </c>
      <c r="E29" t="str">
        <f t="shared" si="0"/>
        <v>within budget</v>
      </c>
    </row>
    <row r="30" spans="2:5" ht="18.75" customHeight="1" x14ac:dyDescent="0.25">
      <c r="B30" s="6">
        <v>44512</v>
      </c>
      <c r="C30" s="7" t="s">
        <v>5</v>
      </c>
      <c r="D30" s="9">
        <v>600</v>
      </c>
      <c r="E30" t="str">
        <f t="shared" si="0"/>
        <v>within budget</v>
      </c>
    </row>
    <row r="31" spans="2:5" ht="18.75" customHeight="1" x14ac:dyDescent="0.25">
      <c r="B31" s="4">
        <v>44515</v>
      </c>
      <c r="C31" s="5" t="s">
        <v>13</v>
      </c>
      <c r="D31" s="9">
        <v>900</v>
      </c>
      <c r="E31" t="str">
        <f t="shared" si="0"/>
        <v>within budget</v>
      </c>
    </row>
    <row r="32" spans="2:5" ht="18.75" customHeight="1" x14ac:dyDescent="0.25">
      <c r="B32" s="6">
        <v>44515</v>
      </c>
      <c r="C32" s="5" t="s">
        <v>6</v>
      </c>
      <c r="D32" s="9">
        <v>150</v>
      </c>
      <c r="E32" t="str">
        <f t="shared" si="0"/>
        <v>within budget</v>
      </c>
    </row>
    <row r="33" spans="2:5" ht="18.75" customHeight="1" x14ac:dyDescent="0.25">
      <c r="B33" s="4">
        <v>44515</v>
      </c>
      <c r="C33" s="5" t="s">
        <v>2</v>
      </c>
      <c r="D33" s="9">
        <v>2100</v>
      </c>
      <c r="E33" t="str">
        <f t="shared" si="0"/>
        <v>Over Budget</v>
      </c>
    </row>
    <row r="34" spans="2:5" ht="18.75" customHeight="1" x14ac:dyDescent="0.25">
      <c r="B34" s="4">
        <v>44517</v>
      </c>
      <c r="C34" s="5" t="s">
        <v>11</v>
      </c>
      <c r="D34" s="9">
        <v>470.63</v>
      </c>
      <c r="E34" t="str">
        <f t="shared" si="0"/>
        <v>within budget</v>
      </c>
    </row>
    <row r="35" spans="2:5" ht="18.75" customHeight="1" x14ac:dyDescent="0.25">
      <c r="B35" s="4">
        <v>44517</v>
      </c>
      <c r="C35" s="5" t="s">
        <v>9</v>
      </c>
      <c r="D35" s="9">
        <v>322.64</v>
      </c>
      <c r="E35" t="str">
        <f t="shared" si="0"/>
        <v>within budget</v>
      </c>
    </row>
    <row r="36" spans="2:5" ht="18.75" customHeight="1" x14ac:dyDescent="0.25">
      <c r="B36" s="4">
        <v>44518</v>
      </c>
      <c r="C36" s="7" t="s">
        <v>8</v>
      </c>
      <c r="D36" s="9">
        <v>428</v>
      </c>
      <c r="E36" t="str">
        <f t="shared" si="0"/>
        <v>within budget</v>
      </c>
    </row>
    <row r="37" spans="2:5" ht="18.75" customHeight="1" x14ac:dyDescent="0.25">
      <c r="B37" s="4">
        <v>44519</v>
      </c>
      <c r="C37" s="5" t="s">
        <v>5</v>
      </c>
      <c r="D37" s="9">
        <v>447</v>
      </c>
      <c r="E37" t="str">
        <f t="shared" si="0"/>
        <v>within budget</v>
      </c>
    </row>
    <row r="38" spans="2:5" ht="18.75" customHeight="1" x14ac:dyDescent="0.25">
      <c r="B38" s="4">
        <v>44522</v>
      </c>
      <c r="C38" s="5" t="s">
        <v>4</v>
      </c>
      <c r="D38" s="10">
        <v>1720</v>
      </c>
      <c r="E38" t="str">
        <f t="shared" si="0"/>
        <v>within budget</v>
      </c>
    </row>
    <row r="39" spans="2:5" ht="18.75" customHeight="1" x14ac:dyDescent="0.25">
      <c r="B39" s="6">
        <v>44524</v>
      </c>
      <c r="C39" s="7" t="s">
        <v>6</v>
      </c>
      <c r="D39" s="9">
        <v>540</v>
      </c>
      <c r="E39" t="str">
        <f t="shared" si="0"/>
        <v>within budget</v>
      </c>
    </row>
    <row r="40" spans="2:5" ht="18.75" customHeight="1" x14ac:dyDescent="0.25">
      <c r="B40" s="4">
        <v>44525</v>
      </c>
      <c r="C40" s="5" t="s">
        <v>7</v>
      </c>
      <c r="D40" s="9">
        <v>314</v>
      </c>
      <c r="E40" t="str">
        <f t="shared" si="0"/>
        <v>within budget</v>
      </c>
    </row>
    <row r="41" spans="2:5" ht="18.75" customHeight="1" x14ac:dyDescent="0.25">
      <c r="B41" s="4">
        <v>44526</v>
      </c>
      <c r="C41" s="5" t="s">
        <v>8</v>
      </c>
      <c r="D41" s="9">
        <v>518</v>
      </c>
      <c r="E41" t="str">
        <f t="shared" si="0"/>
        <v>within budget</v>
      </c>
    </row>
    <row r="42" spans="2:5" ht="18.75" customHeight="1" x14ac:dyDescent="0.25">
      <c r="B42" s="4">
        <v>44526</v>
      </c>
      <c r="C42" s="7" t="s">
        <v>3</v>
      </c>
      <c r="D42" s="10">
        <v>2000</v>
      </c>
      <c r="E42" t="str">
        <f t="shared" si="0"/>
        <v>within budget</v>
      </c>
    </row>
    <row r="43" spans="2:5" ht="18.75" customHeight="1" x14ac:dyDescent="0.25">
      <c r="B43" s="6">
        <v>44529</v>
      </c>
      <c r="C43" s="7" t="s">
        <v>7</v>
      </c>
      <c r="D43" s="9">
        <v>337</v>
      </c>
      <c r="E43" t="str">
        <f t="shared" si="0"/>
        <v>within budget</v>
      </c>
    </row>
    <row r="44" spans="2:5" ht="18.75" customHeight="1" x14ac:dyDescent="0.25">
      <c r="B44" s="4">
        <v>44530</v>
      </c>
      <c r="C44" s="5" t="s">
        <v>8</v>
      </c>
      <c r="D44" s="9">
        <v>500</v>
      </c>
      <c r="E44" t="str">
        <f t="shared" si="0"/>
        <v>within budget</v>
      </c>
    </row>
    <row r="45" spans="2:5" ht="18.75" customHeight="1" x14ac:dyDescent="0.25">
      <c r="B45" s="4">
        <v>44531</v>
      </c>
      <c r="C45" s="5" t="s">
        <v>4</v>
      </c>
      <c r="D45" s="10">
        <v>2500</v>
      </c>
      <c r="E45" t="str">
        <f t="shared" si="0"/>
        <v>Over Budget</v>
      </c>
    </row>
    <row r="46" spans="2:5" ht="18.75" customHeight="1" x14ac:dyDescent="0.25">
      <c r="B46" s="6">
        <v>44534</v>
      </c>
      <c r="C46" s="7" t="s">
        <v>5</v>
      </c>
      <c r="D46" s="9">
        <v>710</v>
      </c>
      <c r="E46" t="str">
        <f t="shared" si="0"/>
        <v>within budget</v>
      </c>
    </row>
    <row r="47" spans="2:5" ht="18.75" customHeight="1" x14ac:dyDescent="0.25">
      <c r="B47" s="4">
        <v>44537</v>
      </c>
      <c r="C47" s="5" t="s">
        <v>2</v>
      </c>
      <c r="D47" s="9">
        <v>2300</v>
      </c>
      <c r="E47" t="str">
        <f t="shared" si="0"/>
        <v>Over Budget</v>
      </c>
    </row>
    <row r="48" spans="2:5" ht="18.75" customHeight="1" x14ac:dyDescent="0.25">
      <c r="B48" s="4">
        <v>44539</v>
      </c>
      <c r="C48" s="5" t="s">
        <v>12</v>
      </c>
      <c r="D48" s="9">
        <v>12000</v>
      </c>
      <c r="E48" t="str">
        <f t="shared" si="0"/>
        <v>Over Budget</v>
      </c>
    </row>
    <row r="49" spans="2:5" ht="18.75" customHeight="1" x14ac:dyDescent="0.25">
      <c r="B49" s="4">
        <v>44545</v>
      </c>
      <c r="C49" s="7" t="s">
        <v>10</v>
      </c>
      <c r="D49" s="9">
        <v>1500</v>
      </c>
      <c r="E49" t="str">
        <f t="shared" si="0"/>
        <v>within budget</v>
      </c>
    </row>
    <row r="50" spans="2:5" ht="18.75" customHeight="1" x14ac:dyDescent="0.25">
      <c r="B50" s="4">
        <v>44547</v>
      </c>
      <c r="C50" s="5" t="s">
        <v>11</v>
      </c>
      <c r="D50" s="9">
        <v>470.63</v>
      </c>
      <c r="E50" t="str">
        <f t="shared" si="0"/>
        <v>within budget</v>
      </c>
    </row>
    <row r="51" spans="2:5" ht="18.75" customHeight="1" x14ac:dyDescent="0.25">
      <c r="B51" s="4">
        <v>44550</v>
      </c>
      <c r="C51" s="5" t="s">
        <v>7</v>
      </c>
      <c r="D51" s="9">
        <v>267</v>
      </c>
      <c r="E51" t="str">
        <f t="shared" si="0"/>
        <v>within budget</v>
      </c>
    </row>
    <row r="52" spans="2:5" ht="18.75" customHeight="1" x14ac:dyDescent="0.25">
      <c r="B52" s="4">
        <v>44553</v>
      </c>
      <c r="C52" s="5" t="s">
        <v>6</v>
      </c>
      <c r="D52" s="9">
        <v>640</v>
      </c>
      <c r="E52" t="str">
        <f t="shared" si="0"/>
        <v>within budget</v>
      </c>
    </row>
    <row r="53" spans="2:5" ht="18.75" customHeight="1" x14ac:dyDescent="0.25">
      <c r="B53" s="4">
        <v>44553</v>
      </c>
      <c r="C53" s="5" t="s">
        <v>5</v>
      </c>
      <c r="D53" s="9">
        <v>450</v>
      </c>
      <c r="E53" t="str">
        <f t="shared" si="0"/>
        <v>within budget</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CEB4C-2389-4A5C-8FEA-10A27E4CEDF4}">
  <dimension ref="A1:B4"/>
  <sheetViews>
    <sheetView workbookViewId="0">
      <selection activeCell="B4" sqref="B4"/>
    </sheetView>
  </sheetViews>
  <sheetFormatPr defaultRowHeight="15" x14ac:dyDescent="0.25"/>
  <cols>
    <col min="2" max="4" width="9.140625" customWidth="1"/>
  </cols>
  <sheetData>
    <row r="1" spans="1:2" x14ac:dyDescent="0.25">
      <c r="A1" t="s">
        <v>32</v>
      </c>
    </row>
    <row r="3" spans="1:2" x14ac:dyDescent="0.25">
      <c r="B3" t="s">
        <v>79</v>
      </c>
    </row>
    <row r="4" spans="1:2" x14ac:dyDescent="0.25">
      <c r="B4"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Tasks</vt:lpstr>
      <vt:lpstr>Expense</vt:lpstr>
      <vt:lpstr>Q1</vt:lpstr>
      <vt:lpstr>Q2</vt:lpstr>
      <vt:lpstr>Q3</vt:lpstr>
      <vt:lpstr>Q4</vt:lpstr>
      <vt:lpstr>Q5</vt:lpstr>
      <vt:lpstr>Q6</vt:lpstr>
      <vt:lpstr>Q7</vt:lpstr>
      <vt:lpstr>Q8</vt:lpstr>
      <vt:lpstr>expense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Poulomi Paul</dc:creator>
  <cp:lastModifiedBy>Kalyani Mane</cp:lastModifiedBy>
  <dcterms:created xsi:type="dcterms:W3CDTF">2015-06-05T18:17:20Z</dcterms:created>
  <dcterms:modified xsi:type="dcterms:W3CDTF">2024-09-12T09:42:31Z</dcterms:modified>
</cp:coreProperties>
</file>