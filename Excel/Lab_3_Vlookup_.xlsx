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0f4b51fff4dd32/Desktop/DA/Excel/"/>
    </mc:Choice>
  </mc:AlternateContent>
  <xr:revisionPtr revIDLastSave="0" documentId="8_{48FC0969-7798-4CEF-B982-609BC2B815FD}" xr6:coauthVersionLast="47" xr6:coauthVersionMax="47" xr10:uidLastSave="{00000000-0000-0000-0000-000000000000}"/>
  <bookViews>
    <workbookView xWindow="-120" yWindow="-120" windowWidth="20730" windowHeight="11040" xr2:uid="{0A555E24-7397-44C2-9E7F-44118C7D79B1}"/>
  </bookViews>
  <sheets>
    <sheet name="Data" sheetId="1" r:id="rId1"/>
    <sheet name="Questions" sheetId="2" r:id="rId2"/>
    <sheet name="Q1" sheetId="3" r:id="rId3"/>
    <sheet name="Q2" sheetId="4" r:id="rId4"/>
    <sheet name="Q3" sheetId="5" r:id="rId5"/>
    <sheet name="Q4" sheetId="6" r:id="rId6"/>
    <sheet name="Q5" sheetId="7" r:id="rId7"/>
    <sheet name="Q6" sheetId="8" r:id="rId8"/>
    <sheet name="Q7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9" l="1"/>
  <c r="F15" i="9"/>
  <c r="F16" i="9"/>
  <c r="F17" i="9"/>
  <c r="F18" i="9"/>
  <c r="F19" i="9"/>
  <c r="C17" i="3"/>
  <c r="C18" i="3"/>
  <c r="C19" i="3"/>
  <c r="C20" i="3"/>
  <c r="C21" i="3"/>
  <c r="E19" i="9"/>
  <c r="E15" i="9"/>
  <c r="E16" i="9"/>
  <c r="E17" i="9"/>
  <c r="E18" i="9"/>
  <c r="E14" i="9"/>
  <c r="K5" i="9"/>
  <c r="K7" i="9"/>
  <c r="K9" i="9"/>
  <c r="K10" i="9"/>
  <c r="K6" i="9"/>
  <c r="K8" i="9"/>
  <c r="E14" i="8"/>
  <c r="E15" i="8"/>
  <c r="E16" i="8"/>
  <c r="E17" i="8"/>
  <c r="K4" i="8"/>
  <c r="K5" i="8"/>
  <c r="K6" i="8"/>
  <c r="K7" i="8"/>
  <c r="K8" i="8"/>
  <c r="K9" i="8"/>
  <c r="E13" i="8"/>
  <c r="H13" i="7"/>
  <c r="E15" i="7"/>
  <c r="E16" i="7"/>
  <c r="E17" i="7"/>
  <c r="E18" i="7"/>
  <c r="E14" i="7"/>
  <c r="K10" i="7"/>
  <c r="K9" i="7"/>
  <c r="K8" i="7"/>
  <c r="K7" i="7"/>
  <c r="K6" i="7"/>
  <c r="K5" i="7"/>
  <c r="F15" i="6"/>
  <c r="F16" i="6"/>
  <c r="F17" i="6"/>
  <c r="F18" i="6"/>
  <c r="F19" i="6"/>
  <c r="F14" i="6"/>
  <c r="E19" i="6"/>
  <c r="E15" i="6"/>
  <c r="E16" i="6"/>
  <c r="E17" i="6"/>
  <c r="E18" i="6"/>
  <c r="E14" i="6"/>
  <c r="K5" i="6"/>
  <c r="K6" i="6"/>
  <c r="K7" i="6"/>
  <c r="K8" i="6"/>
  <c r="K9" i="6"/>
  <c r="K10" i="6"/>
  <c r="E15" i="5"/>
  <c r="E16" i="5"/>
  <c r="E17" i="5"/>
  <c r="E18" i="5"/>
  <c r="E19" i="5"/>
  <c r="E14" i="5"/>
  <c r="K9" i="5"/>
  <c r="K8" i="5"/>
  <c r="K7" i="5"/>
  <c r="K6" i="5"/>
  <c r="K5" i="5"/>
  <c r="K4" i="5"/>
  <c r="K4" i="4"/>
  <c r="K5" i="4"/>
  <c r="K6" i="4"/>
  <c r="K7" i="4"/>
  <c r="K8" i="4"/>
  <c r="K9" i="4"/>
  <c r="E14" i="4"/>
  <c r="E15" i="4"/>
  <c r="E16" i="4"/>
  <c r="E17" i="4"/>
  <c r="E18" i="4"/>
  <c r="E13" i="4"/>
  <c r="C16" i="3"/>
</calcChain>
</file>

<file path=xl/sharedStrings.xml><?xml version="1.0" encoding="utf-8"?>
<sst xmlns="http://schemas.openxmlformats.org/spreadsheetml/2006/main" count="135" uniqueCount="38">
  <si>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</si>
  <si>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</si>
  <si>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</si>
  <si>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</si>
  <si>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</si>
  <si>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</si>
  <si>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</si>
  <si>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</si>
  <si>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</si>
  <si>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</si>
  <si>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</si>
  <si>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TotalPrice</t>
  </si>
  <si>
    <t>1. Use VLOOKUP to find the product names for each ProductID in the Orders worksheet</t>
  </si>
  <si>
    <t>2. Use VLOOKUP to find the price for each ProductID in the Orders worksheet, then calculate the TotalPrice by multiplying the Quantity by the Product Price.</t>
  </si>
  <si>
    <t>Products</t>
  </si>
  <si>
    <t>Column1</t>
  </si>
  <si>
    <t>Orders</t>
  </si>
  <si>
    <t>4. Assume a discount of 10% is given on all products. Use VLOOKUP to find the original price and then calculate the discounted price</t>
  </si>
  <si>
    <t>5. Use VLOOKUP to find the price for each ProductID and then calculate the order value. Find the maximum order value from the list</t>
  </si>
  <si>
    <t>6. Use VLOOKUP to find out which products from the Products worksheet have not been ordered.</t>
  </si>
  <si>
    <t>7. Use VLOOKUP to find the Product name and summarize the total quantity sold for each product</t>
  </si>
  <si>
    <t>Q1. 1. Use VLOOKUP to find the product names for each ProductID in the Orders worksheet</t>
  </si>
  <si>
    <t>Product Names</t>
  </si>
  <si>
    <t>Q2.  Use VLOOKUP to find the price for each ProductID in the Orders worksheet, then calculate the TotalPrice by multiplying the Quantity by the Product Price.</t>
  </si>
  <si>
    <t>Product ID</t>
  </si>
  <si>
    <t>3. Use VLOOKUP to check if there are any ProductIDs in the Orders worksheet that do not exist in the Products worksheet</t>
  </si>
  <si>
    <t>Q3. Use VLOOKUP to check if there are any ProductIDs in the Orders worksheet that do not exist in the Products worksheet</t>
  </si>
  <si>
    <t>Product Check</t>
  </si>
  <si>
    <t>Q4.  Assume a discount of 10% is given on all products. Use VLOOKUP to find the original price and then calculate the discounted price</t>
  </si>
  <si>
    <t>Original Price</t>
  </si>
  <si>
    <t>Discounted Price</t>
  </si>
  <si>
    <t>Q5.  Use VLOOKUP to find the price for each ProductID and then calculate the order value. Find the maximum order value from the list</t>
  </si>
  <si>
    <t>Maximum Value</t>
  </si>
  <si>
    <t>Q6.  Use VLOOKUP to find out which products from the Products worksheet have not been ordered.</t>
  </si>
  <si>
    <t>Ordered Product</t>
  </si>
  <si>
    <t>Q7. Use VLOOKUP to find the Product name and summarize the total quantity sold for each product</t>
  </si>
  <si>
    <t>Product Name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</si>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</sst>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3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6" borderId="0" xfId="0" applyFont="1" applyFill="1"/>
    <xf numFmtId="0" fontId="2" fillId="5" borderId="0" xfId="0" applyFont="1" applyFill="1"/>
  </cellXfs>
  <cellStyles count="1">
    <cellStyle name="Normal" xfId="0" builtinId="0"/>
  </cellStyles>
  <dxfs count="10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</font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</font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2BDEDE-EAE6-4D01-98EF-6E8D46BAF825}" name="Table1" displayName="Table1" ref="B3:D9" totalsRowShown="0" headerRowDxfId="102" dataDxfId="103">
  <autoFilter ref="B3:D9" xr:uid="{D92BDEDE-EAE6-4D01-98EF-6E8D46BAF825}"/>
  <tableColumns count="3">
    <tableColumn id="1" xr3:uid="{0A3CB6D3-B89E-4825-8119-65CBA31D3EAE}" name="ProductID" dataDxfId="106"/>
    <tableColumn id="2" xr3:uid="{D0EBF538-5238-49A8-ADEB-C74D5438D075}" name="Product" dataDxfId="105"/>
    <tableColumn id="3" xr3:uid="{82A5FFD6-5F81-4687-9404-98682663283E}" name="Price" dataDxfId="10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6026E0-8BD2-4AFF-A432-0EC6F73685FB}" name="Table2" displayName="Table2" ref="G3:J9" totalsRowShown="0" headerRowDxfId="96" dataDxfId="97">
  <autoFilter ref="G3:J9" xr:uid="{8D6026E0-8BD2-4AFF-A432-0EC6F73685FB}"/>
  <tableColumns count="4">
    <tableColumn id="1" xr3:uid="{2DAB66B1-BFE4-4DA5-B30C-9CCE5A948C74}" name="OrderID" dataDxfId="101"/>
    <tableColumn id="2" xr3:uid="{5F3C8089-E739-4CDA-BF6C-61A48F6DD76B}" name="ProductID" dataDxfId="100"/>
    <tableColumn id="3" xr3:uid="{4D73AD65-BA08-46E0-8A2B-F78C63D57782}" name="Quantity" dataDxfId="99"/>
    <tableColumn id="4" xr3:uid="{184AC75F-96D1-41C2-9446-0F0C21AEC500}" name="TotalPrice" dataDxfId="98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0C235E-42B3-4967-BA89-B17D52B9BE37}" name="Table17" displayName="Table17" ref="B4:D10" totalsRowShown="0" headerRowDxfId="95" dataDxfId="94">
  <autoFilter ref="B4:D10" xr:uid="{F80C235E-42B3-4967-BA89-B17D52B9BE37}"/>
  <tableColumns count="3">
    <tableColumn id="1" xr3:uid="{8E9DD3E4-B928-4F9B-AAD5-F593754BE741}" name="ProductID" dataDxfId="93"/>
    <tableColumn id="2" xr3:uid="{76D7289B-7CA0-429F-BAA3-703A6DE10129}" name="Product" dataDxfId="92"/>
    <tableColumn id="3" xr3:uid="{2B473BF9-505C-4820-AED0-94CEE29946BE}" name="Price" dataDxfId="9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4D3DCE-5A0E-4BA3-8700-1DBD0EB034FE}" name="Table28" displayName="Table28" ref="F4:I10" totalsRowShown="0" headerRowDxfId="90" dataDxfId="89">
  <autoFilter ref="F4:I10" xr:uid="{834D3DCE-5A0E-4BA3-8700-1DBD0EB034FE}"/>
  <tableColumns count="4">
    <tableColumn id="1" xr3:uid="{665666AC-4EDB-4D2E-9E4A-DFD9C6E7E54E}" name="OrderID" dataDxfId="88"/>
    <tableColumn id="2" xr3:uid="{7AFDDFB9-AD5B-4B26-999B-5746936A8F6C}" name="ProductID" dataDxfId="87"/>
    <tableColumn id="3" xr3:uid="{A065490B-D133-426E-8F4C-97F60A8C3577}" name="Quantity" dataDxfId="86"/>
    <tableColumn id="4" xr3:uid="{B4F9BFCE-7794-459A-A069-F09A03F985A5}" name="TotalPrice" dataDxfId="85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1B06DD-0ED6-444B-8027-BEE4EB9FAC4C}" name="Table8" displayName="Table8" ref="C14:C21" totalsRowShown="0">
  <autoFilter ref="C14:C21" xr:uid="{E81B06DD-0ED6-444B-8027-BEE4EB9FAC4C}"/>
  <tableColumns count="1">
    <tableColumn id="1" xr3:uid="{D9A96B4A-2D4D-4310-B4B7-59DDFBBB4744}" name="Column1"/>
  </tableColumns>
  <tableStyleInfo name="TableStyleMedium2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C0A9E0B-D676-453E-B0FB-99ABFE727124}" name="Table1710" displayName="Table1710" ref="C3:E9" totalsRowShown="0" headerRowDxfId="84" dataDxfId="83">
  <autoFilter ref="C3:E9" xr:uid="{9C0A9E0B-D676-453E-B0FB-99ABFE727124}"/>
  <tableColumns count="3">
    <tableColumn id="1" xr3:uid="{806852C7-0499-467F-86D5-34C7D88D5F41}" name="ProductID" dataDxfId="82"/>
    <tableColumn id="2" xr3:uid="{55D46644-AA37-421F-95BD-B6DB3F7C3E8E}" name="Product" dataDxfId="81"/>
    <tableColumn id="3" xr3:uid="{98A2B1B6-5E99-4714-B3D6-8207FFA0C8CD}" name="Price" dataDxfId="8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B4F630C-04F0-472F-BA69-CB99B230B073}" name="Table2811" displayName="Table2811" ref="H3:K9" totalsRowShown="0" headerRowDxfId="79" dataDxfId="78">
  <autoFilter ref="H3:K9" xr:uid="{6B4F630C-04F0-472F-BA69-CB99B230B073}"/>
  <tableColumns count="4">
    <tableColumn id="1" xr3:uid="{A2F095B1-1D0F-42B1-BB8E-65BA49BC4F3E}" name="OrderID" dataDxfId="77"/>
    <tableColumn id="2" xr3:uid="{A1FC86F0-E3C4-4023-8799-59372EB1C6F4}" name="ProductID" dataDxfId="76"/>
    <tableColumn id="3" xr3:uid="{E2DF8B84-FC5D-4B88-BF28-FECB552F2676}" name="Quantity" dataDxfId="73"/>
    <tableColumn id="4" xr3:uid="{4BD6050F-9255-4C6F-895A-AA5924EE83F3}" name="TotalPrice" dataDxfId="72">
      <calculatedColumnFormula>SUM(Table2811[[#This Row],[Quantity]]*Table1710[[#This Row],[Price]])</calculatedColumnFormula>
    </tableColumn>
  </tableColumns>
  <tableStyleInfo name="TableStyleMedium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00BA1AB-4C9B-467A-900A-336C2AC8CCE9}" name="Table11" displayName="Table11" ref="D12:E18" totalsRowShown="0" headerRowDxfId="74">
  <autoFilter ref="D12:E18" xr:uid="{600BA1AB-4C9B-467A-900A-336C2AC8CCE9}"/>
  <tableColumns count="2">
    <tableColumn id="1" xr3:uid="{46E54E9E-2A7C-4E8E-A768-65830D3B3112}" name="Product ID" dataDxfId="75"/>
    <tableColumn id="2" xr3:uid="{0C541A77-3835-4701-9370-E128BFAFF137}" name="Price">
      <calculatedColumnFormula>VLOOKUP(C4,$C$4:$E$9,3,FALSE)</calculatedColumnFormula>
    </tableColumn>
  </tableColumns>
  <tableStyleInfo name="TableStyleMedium2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DFB235-806C-4776-A0F2-0CC05FE47EF7}" name="Table171013" displayName="Table171013" ref="C3:E9" totalsRowShown="0" headerRowDxfId="71" dataDxfId="70">
  <autoFilter ref="C3:E9" xr:uid="{E3DFB235-806C-4776-A0F2-0CC05FE47EF7}"/>
  <tableColumns count="3">
    <tableColumn id="1" xr3:uid="{1EF4E638-6840-4A8F-90D4-EFF613E8902A}" name="ProductID" dataDxfId="69"/>
    <tableColumn id="2" xr3:uid="{6CA1175B-AF72-4646-BA73-B9F1EB6188DB}" name="Product" dataDxfId="68"/>
    <tableColumn id="3" xr3:uid="{9F617E6C-E0F2-4BF9-A99C-10F4CEBBB301}" name="Price" dataDxfId="6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8BE808C-A846-42CD-B468-B82D9EFB7715}" name="Table281114" displayName="Table281114" ref="H3:K9" totalsRowShown="0" headerRowDxfId="66" dataDxfId="65">
  <autoFilter ref="H3:K9" xr:uid="{38BE808C-A846-42CD-B468-B82D9EFB7715}"/>
  <tableColumns count="4">
    <tableColumn id="1" xr3:uid="{53EE5E33-59D3-4B3D-B1DD-789322292DD4}" name="OrderID" dataDxfId="64"/>
    <tableColumn id="2" xr3:uid="{76B2F807-0494-458B-9D2F-5C6E87759BE5}" name="ProductID" dataDxfId="63"/>
    <tableColumn id="3" xr3:uid="{0ADD384D-D784-412D-A4F6-F423FAE2E071}" name="Quantity" dataDxfId="62"/>
    <tableColumn id="4" xr3:uid="{F36B81B9-2E67-49E3-8FDC-342507D0EC26}" name="TotalPrice" dataDxfId="61">
      <calculatedColumnFormula>SUM(Table281114[[#This Row],[Quantity]]*Table1710[[#This Row],[Price]])</calculatedColumnFormula>
    </tableColumn>
  </tableColumns>
  <tableStyleInfo name="TableStyleMedium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2AE9BF1-A7A2-411E-B138-7C22E9AE3C98}" name="Table14" displayName="Table14" ref="D13:E19" totalsRowShown="0">
  <autoFilter ref="D13:E19" xr:uid="{02AE9BF1-A7A2-411E-B138-7C22E9AE3C98}"/>
  <tableColumns count="2">
    <tableColumn id="1" xr3:uid="{2FA7480B-EDA9-4F5A-9CED-B202E53FBB5B}" name="Product ID" dataDxfId="60"/>
    <tableColumn id="2" xr3:uid="{C5DD6F18-9105-4801-971D-357E45E4EB8D}" name="Product Check">
      <calculatedColumnFormula>IF(ISNA(VLOOKUP(I4,$H$4:$K$9,1,FALSE)),("EXISTS"),("NOT EXIST"))</calculatedColumnFormula>
    </tableColumn>
  </tableColumns>
  <tableStyleInfo name="TableStyleMedium2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45561F1-57C5-4DA8-BC26-AD06E9181CE3}" name="Table17101316" displayName="Table17101316" ref="C4:E10" totalsRowShown="0" headerRowDxfId="59" dataDxfId="58">
  <autoFilter ref="C4:E10" xr:uid="{945561F1-57C5-4DA8-BC26-AD06E9181CE3}"/>
  <tableColumns count="3">
    <tableColumn id="1" xr3:uid="{9DAF549C-8B9F-4DA7-BF23-00A905DE15D8}" name="ProductID" dataDxfId="57"/>
    <tableColumn id="2" xr3:uid="{973FEA1B-1664-4CBD-99BD-07178ACBD08B}" name="Product" dataDxfId="56"/>
    <tableColumn id="3" xr3:uid="{A1346A71-22D7-4DCB-969F-1155F60FF66A}" name="Price" dataDxfId="5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025ACA9-27B9-451A-83B6-6B2551136022}" name="Table28111417" displayName="Table28111417" ref="H4:K10" totalsRowShown="0" headerRowDxfId="54" dataDxfId="53">
  <autoFilter ref="H4:K10" xr:uid="{F025ACA9-27B9-451A-83B6-6B2551136022}"/>
  <tableColumns count="4">
    <tableColumn id="1" xr3:uid="{78655ABD-E6E3-48DB-A071-9595F90AA451}" name="OrderID" dataDxfId="52"/>
    <tableColumn id="2" xr3:uid="{05D70A97-CD21-4999-90EA-1AB736720DBA}" name="ProductID" dataDxfId="51"/>
    <tableColumn id="3" xr3:uid="{45CD0902-B108-445A-9DD4-35D98CB175A7}" name="Quantity" dataDxfId="50"/>
    <tableColumn id="4" xr3:uid="{ED7EC040-E85C-4BA9-BA1B-9C9956434ACB}" name="TotalPrice" dataDxfId="49">
      <calculatedColumnFormula>SUM(Table28111417[[#This Row],[Quantity]]*Table17101316[[#This Row],[Price]])</calculatedColumnFormula>
    </tableColumn>
  </tableColumns>
  <tableStyleInfo name="TableStyleMedium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1ED8B58-D150-48C0-BDA1-FE9F2DD52B54}" name="Table18" displayName="Table18" ref="E13:F19" totalsRowShown="0" headerRowDxfId="48" dataDxfId="47">
  <autoFilter ref="E13:F19" xr:uid="{A1ED8B58-D150-48C0-BDA1-FE9F2DD52B54}"/>
  <tableColumns count="2">
    <tableColumn id="1" xr3:uid="{00F8CAAF-1423-4FD5-BAA3-CB70FEB6784B}" name="Original Price" dataDxfId="46">
      <calculatedColumnFormula>VLOOKUP(C5,$C$5:$E$10,3,FALSE)</calculatedColumnFormula>
    </tableColumn>
    <tableColumn id="2" xr3:uid="{66DA23B5-CB32-4132-A120-786CB1E35717}" name="Discounted Price" dataDxfId="45">
      <calculatedColumnFormula>E14*(1-0.1)</calculatedColumnFormula>
    </tableColumn>
  </tableColumns>
  <tableStyleInfo name="TableStyleMedium2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A8560FF-8D0D-4F79-BC7F-626FDA8876E0}" name="Table1710131619" displayName="Table1710131619" ref="C4:E10" totalsRowShown="0" headerRowDxfId="44" dataDxfId="43">
  <autoFilter ref="C4:E10" xr:uid="{DA8560FF-8D0D-4F79-BC7F-626FDA8876E0}"/>
  <tableColumns count="3">
    <tableColumn id="1" xr3:uid="{859EF055-741A-4FC7-A96D-055E285C60FD}" name="ProductID" dataDxfId="42"/>
    <tableColumn id="2" xr3:uid="{7542E039-37D5-4483-B36D-7CD7A9E9F770}" name="Product" dataDxfId="41"/>
    <tableColumn id="3" xr3:uid="{B874546E-E2F4-4DEA-884D-E7A8D440A739}" name="Price" dataDxfId="4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2E7F589-5F4B-4EC0-8275-2F19FF47F9F6}" name="Table2811141720" displayName="Table2811141720" ref="H4:K10" totalsRowShown="0" headerRowDxfId="39" dataDxfId="38">
  <autoFilter ref="H4:K10" xr:uid="{92E7F589-5F4B-4EC0-8275-2F19FF47F9F6}"/>
  <tableColumns count="4">
    <tableColumn id="1" xr3:uid="{C6F93BBB-0EE1-426D-9229-85AF64E1632A}" name="OrderID" dataDxfId="37"/>
    <tableColumn id="2" xr3:uid="{38D76F33-049B-462F-AA31-D19FA237C000}" name="ProductID" dataDxfId="36"/>
    <tableColumn id="3" xr3:uid="{8CA0475D-50FA-4963-B812-100A4C839B65}" name="Quantity" dataDxfId="35"/>
    <tableColumn id="4" xr3:uid="{A875D9FE-3473-4DE7-82F9-D6D47C6B3BF2}" name="TotalPrice" dataDxfId="34">
      <calculatedColumnFormula>SUM(Table2811141720[[#This Row],[Quantity]]*Table17101316[[#This Row],[Price]])</calculatedColumnFormula>
    </tableColumn>
  </tableColumns>
  <tableStyleInfo name="TableStyleMedium1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8780186-ABC2-4D0F-8BE6-625C08413DD8}" name="Table20" displayName="Table20" ref="D13:E18" totalsRowShown="0" headerRowDxfId="31" dataDxfId="30">
  <autoFilter ref="D13:E18" xr:uid="{88780186-ABC2-4D0F-8BE6-625C08413DD8}"/>
  <tableColumns count="2">
    <tableColumn id="1" xr3:uid="{62B98C6B-4B91-407A-B97C-B731BB4E20A4}" name="Product ID" dataDxfId="33"/>
    <tableColumn id="2" xr3:uid="{7A059D9F-E9CD-4EC5-93D6-025A79705C1D}" name="Price" dataDxfId="32">
      <calculatedColumnFormula>VLOOKUP(C5,$C$5:$E$10,3,FALSE)</calculatedColumnFormula>
    </tableColumn>
  </tableColumns>
  <tableStyleInfo name="TableStyleMedium2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2E1D301-C35C-4E9B-AA5B-950C05E30177}" name="Table171013161923" displayName="Table171013161923" ref="C3:E9" totalsRowShown="0" headerRowDxfId="29" dataDxfId="28">
  <autoFilter ref="C3:E9" xr:uid="{62E1D301-C35C-4E9B-AA5B-950C05E30177}"/>
  <tableColumns count="3">
    <tableColumn id="1" xr3:uid="{C15FDDA0-B688-4B43-BCF0-0D95DF5A2586}" name="ProductID" dataDxfId="27"/>
    <tableColumn id="2" xr3:uid="{E3FC44F6-85D6-4C69-9479-65E9F9BBDA53}" name="Product" dataDxfId="26"/>
    <tableColumn id="3" xr3:uid="{38453069-4592-455E-A9E0-9D285ADF934D}" name="Price" dataDxfId="25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AE9DBCE-14B0-4AB0-A1B6-B397E3713544}" name="Table281114172024" displayName="Table281114172024" ref="H3:K9" totalsRowShown="0" headerRowDxfId="24" dataDxfId="23">
  <autoFilter ref="H3:K9" xr:uid="{AAE9DBCE-14B0-4AB0-A1B6-B397E3713544}"/>
  <tableColumns count="4">
    <tableColumn id="1" xr3:uid="{AA7F571E-983D-4349-AEAE-8D46E93EB18E}" name="OrderID" dataDxfId="22"/>
    <tableColumn id="2" xr3:uid="{23DE13D8-5053-472C-8EBB-16D8BB58EE99}" name="ProductID" dataDxfId="21"/>
    <tableColumn id="3" xr3:uid="{4867E46D-249D-4458-9573-43A0AF970468}" name="Quantity" dataDxfId="20"/>
    <tableColumn id="4" xr3:uid="{3627FA04-76B4-4E6E-9362-3128000EFA75}" name="TotalPrice" dataDxfId="19">
      <calculatedColumnFormula>SUM(Table281114172024[[#This Row],[Quantity]]*Table171013161923[[#This Row],[Price]])</calculatedColumnFormula>
    </tableColumn>
  </tableColumns>
  <tableStyleInfo name="TableStyleMedium1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79C334C-2C99-4E63-963C-C6A37E1B206E}" name="Table24" displayName="Table24" ref="D12:E17" totalsRowShown="0" headerRowDxfId="16" dataDxfId="15">
  <autoFilter ref="D12:E17" xr:uid="{E79C334C-2C99-4E63-963C-C6A37E1B206E}"/>
  <tableColumns count="2">
    <tableColumn id="1" xr3:uid="{26359599-94C2-4BDA-882C-A79BE14D8C39}" name="Product ID" dataDxfId="18"/>
    <tableColumn id="2" xr3:uid="{3789DC66-2E93-43E9-A5C4-5FBFDF68ACC3}" name="Ordered Product" dataDxfId="17">
      <calculatedColumnFormula>IF(COUNTIF($H$4:$K$9,K4)=0,"Ordered","Not Ordered")</calculatedColumnFormula>
    </tableColumn>
  </tableColumns>
  <tableStyleInfo name="TableStyleMedium2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6385818-5309-44C6-9710-3FF00D3A9BCA}" name="Table171013161926" displayName="Table171013161926" ref="C4:E10" totalsRowShown="0" headerRowDxfId="14" dataDxfId="13">
  <autoFilter ref="C4:E10" xr:uid="{76385818-5309-44C6-9710-3FF00D3A9BCA}"/>
  <tableColumns count="3">
    <tableColumn id="1" xr3:uid="{0C33A893-936A-49D8-8268-575FAD8AE14E}" name="ProductID" dataDxfId="12"/>
    <tableColumn id="2" xr3:uid="{409FD4A7-BFF9-45C1-9B40-D7C33FB8698A}" name="Product" dataDxfId="11"/>
    <tableColumn id="3" xr3:uid="{CEDA450D-28DF-408B-B790-DDC1CD0F13BE}" name="Price" dataDxfId="1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7C63A93-2964-4076-AC2A-5E4712DEF924}" name="Table28111417202427" displayName="Table28111417202427" ref="H4:K10" totalsRowShown="0" headerRowDxfId="9" dataDxfId="8">
  <autoFilter ref="H4:K10" xr:uid="{37C63A93-2964-4076-AC2A-5E4712DEF924}"/>
  <sortState xmlns:xlrd2="http://schemas.microsoft.com/office/spreadsheetml/2017/richdata2" ref="H5:K10">
    <sortCondition ref="I5:I10"/>
  </sortState>
  <tableColumns count="4">
    <tableColumn id="1" xr3:uid="{A2FBEE38-714C-402E-AEE2-15BBB5F87B61}" name="OrderID" dataDxfId="7"/>
    <tableColumn id="2" xr3:uid="{DF4C5B52-5365-4729-BF32-E844EFCD0CE4}" name="ProductID" dataDxfId="6"/>
    <tableColumn id="3" xr3:uid="{726AF03D-596A-4661-A91D-64693C84E25A}" name="Quantity" dataDxfId="5"/>
    <tableColumn id="4" xr3:uid="{30E8A343-16AE-40FD-8613-FC578D04F051}" name="TotalPrice" dataDxfId="4">
      <calculatedColumnFormula>SUM(Table28111417202427[[#This Row],[Quantity]]*Table171013161926[[#This Row],[Price]])</calculatedColumnFormula>
    </tableColumn>
  </tableColumns>
  <tableStyleInfo name="TableStyleMedium1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7F04568-671D-4DA4-96B7-6C233DDBED54}" name="Table27" displayName="Table27" ref="E13:F19" totalsRowShown="0" headerRowDxfId="1" dataDxfId="0">
  <autoFilter ref="E13:F19" xr:uid="{47F04568-671D-4DA4-96B7-6C233DDBED54}"/>
  <tableColumns count="2">
    <tableColumn id="1" xr3:uid="{0C06B9BE-47B5-4D9D-9A9C-6AD46DEAB349}" name="Product Name" dataDxfId="3">
      <calculatedColumnFormula>VLOOKUP(C5,$C$5:$E$10,2,FALSE)</calculatedColumnFormula>
    </tableColumn>
    <tableColumn id="2" xr3:uid="{F1357C3D-1BE8-46BB-B7F2-063ABBA73A35}" name="Total Quantity" dataDxfId="2">
      <calculatedColumnFormula>SUMIF($C$5:$C$10,C5,($J$5:$J$10))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91C3-2E97-4C8C-94F9-3E73864DB4C1}">
  <dimension ref="B1:J9"/>
  <sheetViews>
    <sheetView tabSelected="1" workbookViewId="0">
      <selection activeCell="G20" sqref="G20"/>
    </sheetView>
  </sheetViews>
  <sheetFormatPr defaultRowHeight="13.5" customHeight="1" x14ac:dyDescent="0.25"/>
  <cols>
    <col min="1" max="1" width="9.140625" customWidth="1"/>
    <col min="2" max="2" width="13.140625" customWidth="1"/>
    <col min="3" max="3" width="13.42578125" customWidth="1"/>
    <col min="4" max="4" width="13" customWidth="1"/>
    <col min="7" max="7" width="12.28515625" customWidth="1"/>
    <col min="8" max="8" width="13.5703125" customWidth="1"/>
    <col min="9" max="9" width="12.85546875" customWidth="1"/>
    <col min="10" max="10" width="14.5703125" customWidth="1"/>
  </cols>
  <sheetData>
    <row r="1" spans="2:10" ht="13.5" customHeight="1" x14ac:dyDescent="0.25">
      <c r="C1" s="4" t="s">
        <v>14</v>
      </c>
      <c r="I1" s="4" t="s">
        <v>16</v>
      </c>
    </row>
    <row r="3" spans="2:10" ht="13.5" customHeight="1" x14ac:dyDescent="0.25">
      <c r="B3" s="2" t="s">
        <v>0</v>
      </c>
      <c r="C3" s="2" t="s">
        <v>1</v>
      </c>
      <c r="D3" s="2" t="s">
        <v>2</v>
      </c>
      <c r="G3" s="2" t="s">
        <v>9</v>
      </c>
      <c r="H3" s="2" t="s">
        <v>0</v>
      </c>
      <c r="I3" s="2" t="s">
        <v>10</v>
      </c>
      <c r="J3" s="2" t="s">
        <v>11</v>
      </c>
    </row>
    <row r="4" spans="2:10" ht="13.5" customHeight="1" x14ac:dyDescent="0.25">
      <c r="B4" s="1">
        <v>101</v>
      </c>
      <c r="C4" s="1" t="s">
        <v>3</v>
      </c>
      <c r="D4" s="1">
        <v>120</v>
      </c>
      <c r="G4" s="1">
        <v>1</v>
      </c>
      <c r="H4" s="1">
        <v>101</v>
      </c>
      <c r="I4" s="1">
        <v>2</v>
      </c>
      <c r="J4" s="1"/>
    </row>
    <row r="5" spans="2:10" ht="13.5" customHeight="1" x14ac:dyDescent="0.25">
      <c r="B5" s="1">
        <v>102</v>
      </c>
      <c r="C5" s="1" t="s">
        <v>4</v>
      </c>
      <c r="D5" s="1">
        <v>150</v>
      </c>
      <c r="G5" s="1">
        <v>2</v>
      </c>
      <c r="H5" s="1">
        <v>103</v>
      </c>
      <c r="I5" s="1">
        <v>1</v>
      </c>
      <c r="J5" s="1"/>
    </row>
    <row r="6" spans="2:10" ht="13.5" customHeight="1" x14ac:dyDescent="0.25">
      <c r="B6" s="1">
        <v>103</v>
      </c>
      <c r="C6" s="1" t="s">
        <v>5</v>
      </c>
      <c r="D6" s="1">
        <v>200</v>
      </c>
      <c r="G6" s="1">
        <v>3</v>
      </c>
      <c r="H6" s="1">
        <v>105</v>
      </c>
      <c r="I6" s="1">
        <v>4</v>
      </c>
      <c r="J6" s="1"/>
    </row>
    <row r="7" spans="2:10" ht="13.5" customHeight="1" x14ac:dyDescent="0.25">
      <c r="B7" s="1">
        <v>104</v>
      </c>
      <c r="C7" s="1" t="s">
        <v>6</v>
      </c>
      <c r="D7" s="1">
        <v>90</v>
      </c>
      <c r="G7" s="1">
        <v>4</v>
      </c>
      <c r="H7" s="1">
        <v>106</v>
      </c>
      <c r="I7" s="1">
        <v>3</v>
      </c>
      <c r="J7" s="1"/>
    </row>
    <row r="8" spans="2:10" ht="13.5" customHeight="1" x14ac:dyDescent="0.25">
      <c r="B8" s="1">
        <v>105</v>
      </c>
      <c r="C8" s="1" t="s">
        <v>7</v>
      </c>
      <c r="D8" s="1">
        <v>220</v>
      </c>
      <c r="G8" s="1">
        <v>5</v>
      </c>
      <c r="H8" s="1">
        <v>102</v>
      </c>
      <c r="I8" s="1">
        <v>5</v>
      </c>
      <c r="J8" s="1"/>
    </row>
    <row r="9" spans="2:10" ht="13.5" customHeight="1" x14ac:dyDescent="0.25">
      <c r="B9" s="1">
        <v>106</v>
      </c>
      <c r="C9" s="1" t="s">
        <v>8</v>
      </c>
      <c r="D9" s="1">
        <v>130</v>
      </c>
      <c r="G9" s="1">
        <v>6</v>
      </c>
      <c r="H9" s="1">
        <v>104</v>
      </c>
      <c r="I9" s="1">
        <v>6</v>
      </c>
      <c r="J9" s="1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BBF2-BA7D-486D-97CD-B379606951BE}">
  <dimension ref="B3:B9"/>
  <sheetViews>
    <sheetView workbookViewId="0">
      <selection activeCell="B9" sqref="B9"/>
    </sheetView>
  </sheetViews>
  <sheetFormatPr defaultRowHeight="19.5" customHeight="1" x14ac:dyDescent="0.25"/>
  <sheetData>
    <row r="3" spans="2:2" ht="19.5" customHeight="1" x14ac:dyDescent="0.25">
      <c r="B3" t="s">
        <v>12</v>
      </c>
    </row>
    <row r="4" spans="2:2" ht="19.5" customHeight="1" x14ac:dyDescent="0.25">
      <c r="B4" t="s">
        <v>13</v>
      </c>
    </row>
    <row r="5" spans="2:2" ht="19.5" customHeight="1" x14ac:dyDescent="0.25">
      <c r="B5" t="s">
        <v>25</v>
      </c>
    </row>
    <row r="6" spans="2:2" ht="19.5" customHeight="1" x14ac:dyDescent="0.25">
      <c r="B6" t="s">
        <v>17</v>
      </c>
    </row>
    <row r="7" spans="2:2" ht="19.5" customHeight="1" x14ac:dyDescent="0.25">
      <c r="B7" t="s">
        <v>18</v>
      </c>
    </row>
    <row r="8" spans="2:2" ht="19.5" customHeight="1" x14ac:dyDescent="0.25">
      <c r="B8" t="s">
        <v>19</v>
      </c>
    </row>
    <row r="9" spans="2:2" ht="19.5" customHeight="1" x14ac:dyDescent="0.25">
      <c r="B9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39A0-ED4D-4AFF-8D6A-503551296725}">
  <dimension ref="A1:I21"/>
  <sheetViews>
    <sheetView workbookViewId="0">
      <selection activeCell="F17" sqref="F17"/>
    </sheetView>
  </sheetViews>
  <sheetFormatPr defaultColWidth="12" defaultRowHeight="14.25" customHeight="1" x14ac:dyDescent="0.25"/>
  <cols>
    <col min="3" max="3" width="14.28515625" customWidth="1"/>
  </cols>
  <sheetData>
    <row r="1" spans="1:9" ht="14.25" customHeight="1" x14ac:dyDescent="0.25">
      <c r="A1" t="s">
        <v>21</v>
      </c>
    </row>
    <row r="4" spans="1:9" ht="14.25" customHeight="1" x14ac:dyDescent="0.25">
      <c r="B4" s="2" t="s">
        <v>0</v>
      </c>
      <c r="C4" s="2" t="s">
        <v>1</v>
      </c>
      <c r="D4" s="2" t="s">
        <v>2</v>
      </c>
      <c r="F4" s="2" t="s">
        <v>9</v>
      </c>
      <c r="G4" s="2" t="s">
        <v>0</v>
      </c>
      <c r="H4" s="2" t="s">
        <v>10</v>
      </c>
      <c r="I4" s="2" t="s">
        <v>11</v>
      </c>
    </row>
    <row r="5" spans="1:9" ht="14.25" customHeight="1" x14ac:dyDescent="0.25">
      <c r="B5" s="1">
        <v>101</v>
      </c>
      <c r="C5" s="1" t="s">
        <v>3</v>
      </c>
      <c r="D5" s="1">
        <v>120</v>
      </c>
      <c r="F5" s="1">
        <v>1</v>
      </c>
      <c r="G5" s="1">
        <v>101</v>
      </c>
      <c r="H5" s="1">
        <v>2</v>
      </c>
      <c r="I5" s="1"/>
    </row>
    <row r="6" spans="1:9" ht="14.25" customHeight="1" x14ac:dyDescent="0.25">
      <c r="B6" s="1">
        <v>102</v>
      </c>
      <c r="C6" s="1" t="s">
        <v>4</v>
      </c>
      <c r="D6" s="1">
        <v>150</v>
      </c>
      <c r="F6" s="1">
        <v>2</v>
      </c>
      <c r="G6" s="1">
        <v>103</v>
      </c>
      <c r="H6" s="1">
        <v>1</v>
      </c>
      <c r="I6" s="1"/>
    </row>
    <row r="7" spans="1:9" ht="14.25" customHeight="1" x14ac:dyDescent="0.25">
      <c r="B7" s="1">
        <v>103</v>
      </c>
      <c r="C7" s="1" t="s">
        <v>5</v>
      </c>
      <c r="D7" s="1">
        <v>200</v>
      </c>
      <c r="F7" s="1">
        <v>3</v>
      </c>
      <c r="G7" s="1">
        <v>105</v>
      </c>
      <c r="H7" s="1">
        <v>4</v>
      </c>
      <c r="I7" s="1"/>
    </row>
    <row r="8" spans="1:9" ht="14.25" customHeight="1" x14ac:dyDescent="0.25">
      <c r="B8" s="1">
        <v>104</v>
      </c>
      <c r="C8" s="1" t="s">
        <v>6</v>
      </c>
      <c r="D8" s="1">
        <v>90</v>
      </c>
      <c r="F8" s="1">
        <v>4</v>
      </c>
      <c r="G8" s="1">
        <v>106</v>
      </c>
      <c r="H8" s="1">
        <v>3</v>
      </c>
      <c r="I8" s="1"/>
    </row>
    <row r="9" spans="1:9" ht="14.25" customHeight="1" x14ac:dyDescent="0.25">
      <c r="B9" s="1">
        <v>105</v>
      </c>
      <c r="C9" s="1" t="s">
        <v>7</v>
      </c>
      <c r="D9" s="1">
        <v>220</v>
      </c>
      <c r="F9" s="1">
        <v>5</v>
      </c>
      <c r="G9" s="1">
        <v>102</v>
      </c>
      <c r="H9" s="1">
        <v>5</v>
      </c>
      <c r="I9" s="1"/>
    </row>
    <row r="10" spans="1:9" ht="14.25" customHeight="1" x14ac:dyDescent="0.25">
      <c r="B10" s="1">
        <v>106</v>
      </c>
      <c r="C10" s="1" t="s">
        <v>8</v>
      </c>
      <c r="D10" s="1">
        <v>130</v>
      </c>
      <c r="F10" s="1">
        <v>6</v>
      </c>
      <c r="G10" s="1">
        <v>104</v>
      </c>
      <c r="H10" s="1">
        <v>6</v>
      </c>
      <c r="I10" s="1"/>
    </row>
    <row r="14" spans="1:9" ht="14.25" customHeight="1" x14ac:dyDescent="0.25">
      <c r="C14" t="s">
        <v>15</v>
      </c>
    </row>
    <row r="15" spans="1:9" ht="14.25" customHeight="1" x14ac:dyDescent="0.25">
      <c r="C15" t="s">
        <v>22</v>
      </c>
    </row>
    <row r="16" spans="1:9" ht="14.25" customHeight="1" x14ac:dyDescent="0.25">
      <c r="C16" t="str">
        <f>VLOOKUP(G5,$B$5:$D$10,2,FALSE)</f>
        <v>Product A</v>
      </c>
    </row>
    <row r="17" spans="3:3" ht="14.25" customHeight="1" x14ac:dyDescent="0.25">
      <c r="C17" t="str">
        <f t="shared" ref="C17:C21" si="0">VLOOKUP(G6,$B$5:$D$10,2,FALSE)</f>
        <v>Product C</v>
      </c>
    </row>
    <row r="18" spans="3:3" ht="14.25" customHeight="1" x14ac:dyDescent="0.25">
      <c r="C18" t="str">
        <f t="shared" si="0"/>
        <v>Product E</v>
      </c>
    </row>
    <row r="19" spans="3:3" ht="14.25" customHeight="1" x14ac:dyDescent="0.25">
      <c r="C19" t="str">
        <f t="shared" si="0"/>
        <v>Product F</v>
      </c>
    </row>
    <row r="20" spans="3:3" ht="14.25" customHeight="1" x14ac:dyDescent="0.25">
      <c r="C20" t="str">
        <f t="shared" si="0"/>
        <v>Product B</v>
      </c>
    </row>
    <row r="21" spans="3:3" ht="14.25" customHeight="1" x14ac:dyDescent="0.25">
      <c r="C21" t="str">
        <f t="shared" si="0"/>
        <v>Product D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CEA3-DD92-4D12-96F6-AFBC8D4BCAFD}">
  <dimension ref="A1:K18"/>
  <sheetViews>
    <sheetView workbookViewId="0">
      <selection activeCell="H3" sqref="H3:K9"/>
    </sheetView>
  </sheetViews>
  <sheetFormatPr defaultColWidth="10.28515625" defaultRowHeight="17.25" customHeight="1" x14ac:dyDescent="0.25"/>
  <cols>
    <col min="4" max="4" width="12.28515625" customWidth="1"/>
    <col min="8" max="8" width="12" customWidth="1"/>
    <col min="11" max="11" width="14.7109375" customWidth="1"/>
  </cols>
  <sheetData>
    <row r="1" spans="1:11" ht="17.25" customHeight="1" x14ac:dyDescent="0.25">
      <c r="A1" t="s">
        <v>23</v>
      </c>
    </row>
    <row r="3" spans="1:11" ht="17.25" customHeight="1" x14ac:dyDescent="0.25">
      <c r="C3" s="2" t="s">
        <v>0</v>
      </c>
      <c r="D3" s="2" t="s">
        <v>1</v>
      </c>
      <c r="E3" s="2" t="s">
        <v>2</v>
      </c>
      <c r="H3" s="2" t="s">
        <v>9</v>
      </c>
      <c r="I3" s="2" t="s">
        <v>0</v>
      </c>
      <c r="J3" s="2" t="s">
        <v>10</v>
      </c>
      <c r="K3" s="2" t="s">
        <v>11</v>
      </c>
    </row>
    <row r="4" spans="1:11" ht="17.25" customHeight="1" x14ac:dyDescent="0.25">
      <c r="C4" s="1">
        <v>101</v>
      </c>
      <c r="D4" s="1" t="s">
        <v>3</v>
      </c>
      <c r="E4" s="1">
        <v>120</v>
      </c>
      <c r="H4" s="1">
        <v>1</v>
      </c>
      <c r="I4" s="1">
        <v>101</v>
      </c>
      <c r="J4" s="1">
        <v>2</v>
      </c>
      <c r="K4" s="2">
        <f>SUM(Table2811[[#This Row],[Quantity]]*Table1710[[#This Row],[Price]])</f>
        <v>240</v>
      </c>
    </row>
    <row r="5" spans="1:11" ht="17.25" customHeight="1" x14ac:dyDescent="0.25">
      <c r="C5" s="1">
        <v>102</v>
      </c>
      <c r="D5" s="1" t="s">
        <v>4</v>
      </c>
      <c r="E5" s="1">
        <v>150</v>
      </c>
      <c r="H5" s="1">
        <v>2</v>
      </c>
      <c r="I5" s="1">
        <v>103</v>
      </c>
      <c r="J5" s="1">
        <v>1</v>
      </c>
      <c r="K5" s="2">
        <f>SUM(Table2811[[#This Row],[Quantity]]*Table1710[[#This Row],[Price]])</f>
        <v>150</v>
      </c>
    </row>
    <row r="6" spans="1:11" ht="17.25" customHeight="1" x14ac:dyDescent="0.25">
      <c r="C6" s="1">
        <v>103</v>
      </c>
      <c r="D6" s="1" t="s">
        <v>5</v>
      </c>
      <c r="E6" s="1">
        <v>200</v>
      </c>
      <c r="H6" s="1">
        <v>3</v>
      </c>
      <c r="I6" s="1">
        <v>105</v>
      </c>
      <c r="J6" s="1">
        <v>4</v>
      </c>
      <c r="K6" s="2">
        <f>SUM(Table2811[[#This Row],[Quantity]]*Table1710[[#This Row],[Price]])</f>
        <v>800</v>
      </c>
    </row>
    <row r="7" spans="1:11" ht="17.25" customHeight="1" x14ac:dyDescent="0.25">
      <c r="C7" s="1">
        <v>104</v>
      </c>
      <c r="D7" s="1" t="s">
        <v>6</v>
      </c>
      <c r="E7" s="1">
        <v>90</v>
      </c>
      <c r="H7" s="1">
        <v>4</v>
      </c>
      <c r="I7" s="1">
        <v>106</v>
      </c>
      <c r="J7" s="1">
        <v>3</v>
      </c>
      <c r="K7" s="2">
        <f>SUM(Table2811[[#This Row],[Quantity]]*Table1710[[#This Row],[Price]])</f>
        <v>270</v>
      </c>
    </row>
    <row r="8" spans="1:11" ht="17.25" customHeight="1" x14ac:dyDescent="0.25">
      <c r="C8" s="1">
        <v>105</v>
      </c>
      <c r="D8" s="1" t="s">
        <v>7</v>
      </c>
      <c r="E8" s="1">
        <v>220</v>
      </c>
      <c r="H8" s="1">
        <v>5</v>
      </c>
      <c r="I8" s="1">
        <v>102</v>
      </c>
      <c r="J8" s="1">
        <v>5</v>
      </c>
      <c r="K8" s="2">
        <f>SUM(Table2811[[#This Row],[Quantity]]*Table1710[[#This Row],[Price]])</f>
        <v>1100</v>
      </c>
    </row>
    <row r="9" spans="1:11" ht="17.25" customHeight="1" x14ac:dyDescent="0.25">
      <c r="C9" s="1">
        <v>106</v>
      </c>
      <c r="D9" s="1" t="s">
        <v>8</v>
      </c>
      <c r="E9" s="1">
        <v>130</v>
      </c>
      <c r="H9" s="1">
        <v>6</v>
      </c>
      <c r="I9" s="1">
        <v>104</v>
      </c>
      <c r="J9" s="1">
        <v>6</v>
      </c>
      <c r="K9" s="2">
        <f>SUM(Table2811[[#This Row],[Quantity]]*Table1710[[#This Row],[Price]])</f>
        <v>780</v>
      </c>
    </row>
    <row r="12" spans="1:11" ht="17.25" customHeight="1" x14ac:dyDescent="0.25">
      <c r="D12" s="7" t="s">
        <v>24</v>
      </c>
      <c r="E12" s="7" t="s">
        <v>2</v>
      </c>
    </row>
    <row r="13" spans="1:11" ht="17.25" customHeight="1" x14ac:dyDescent="0.25">
      <c r="D13" s="5">
        <v>101</v>
      </c>
      <c r="E13">
        <f>VLOOKUP(C4,$C$4:$E$9,3,FALSE)</f>
        <v>120</v>
      </c>
    </row>
    <row r="14" spans="1:11" ht="17.25" customHeight="1" x14ac:dyDescent="0.25">
      <c r="D14" s="5">
        <v>103</v>
      </c>
      <c r="E14">
        <f t="shared" ref="E14:E18" si="0">VLOOKUP(C5,$C$4:$E$9,3,FALSE)</f>
        <v>150</v>
      </c>
    </row>
    <row r="15" spans="1:11" ht="17.25" customHeight="1" x14ac:dyDescent="0.25">
      <c r="D15" s="5">
        <v>105</v>
      </c>
      <c r="E15">
        <f t="shared" si="0"/>
        <v>200</v>
      </c>
    </row>
    <row r="16" spans="1:11" ht="17.25" customHeight="1" x14ac:dyDescent="0.25">
      <c r="D16" s="5">
        <v>106</v>
      </c>
      <c r="E16">
        <f t="shared" si="0"/>
        <v>90</v>
      </c>
    </row>
    <row r="17" spans="4:5" ht="17.25" customHeight="1" x14ac:dyDescent="0.25">
      <c r="D17" s="5">
        <v>102</v>
      </c>
      <c r="E17">
        <f t="shared" si="0"/>
        <v>220</v>
      </c>
    </row>
    <row r="18" spans="4:5" ht="17.25" customHeight="1" x14ac:dyDescent="0.25">
      <c r="D18" s="6">
        <v>104</v>
      </c>
      <c r="E18">
        <f t="shared" si="0"/>
        <v>130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3513-DCB6-4ECF-BFBB-19BAC0911CBC}">
  <dimension ref="A1:K19"/>
  <sheetViews>
    <sheetView workbookViewId="0">
      <selection activeCell="G17" sqref="G17"/>
    </sheetView>
  </sheetViews>
  <sheetFormatPr defaultColWidth="12" defaultRowHeight="17.25" customHeight="1" x14ac:dyDescent="0.25"/>
  <cols>
    <col min="4" max="4" width="12.28515625" customWidth="1"/>
    <col min="5" max="5" width="15.7109375" customWidth="1"/>
  </cols>
  <sheetData>
    <row r="1" spans="1:11" ht="17.25" customHeight="1" x14ac:dyDescent="0.25">
      <c r="A1" t="s">
        <v>26</v>
      </c>
    </row>
    <row r="3" spans="1:11" ht="17.25" customHeight="1" x14ac:dyDescent="0.25">
      <c r="C3" s="2" t="s">
        <v>0</v>
      </c>
      <c r="D3" s="2" t="s">
        <v>1</v>
      </c>
      <c r="E3" s="2" t="s">
        <v>2</v>
      </c>
      <c r="H3" s="2" t="s">
        <v>9</v>
      </c>
      <c r="I3" s="2" t="s">
        <v>0</v>
      </c>
      <c r="J3" s="2" t="s">
        <v>10</v>
      </c>
      <c r="K3" s="2" t="s">
        <v>11</v>
      </c>
    </row>
    <row r="4" spans="1:11" ht="17.25" customHeight="1" x14ac:dyDescent="0.25">
      <c r="C4" s="1">
        <v>101</v>
      </c>
      <c r="D4" s="1" t="s">
        <v>3</v>
      </c>
      <c r="E4" s="1">
        <v>120</v>
      </c>
      <c r="H4" s="1">
        <v>1</v>
      </c>
      <c r="I4" s="1">
        <v>101</v>
      </c>
      <c r="J4" s="1">
        <v>2</v>
      </c>
      <c r="K4" s="2">
        <f>SUM(Table281114[[#This Row],[Quantity]]*Table1710[[#This Row],[Price]])</f>
        <v>240</v>
      </c>
    </row>
    <row r="5" spans="1:11" ht="17.25" customHeight="1" x14ac:dyDescent="0.25">
      <c r="C5" s="1">
        <v>102</v>
      </c>
      <c r="D5" s="1" t="s">
        <v>4</v>
      </c>
      <c r="E5" s="1">
        <v>150</v>
      </c>
      <c r="H5" s="1">
        <v>2</v>
      </c>
      <c r="I5" s="1">
        <v>103</v>
      </c>
      <c r="J5" s="1">
        <v>1</v>
      </c>
      <c r="K5" s="2">
        <f>SUM(Table281114[[#This Row],[Quantity]]*Table1710[[#This Row],[Price]])</f>
        <v>150</v>
      </c>
    </row>
    <row r="6" spans="1:11" ht="17.25" customHeight="1" x14ac:dyDescent="0.25">
      <c r="C6" s="1">
        <v>103</v>
      </c>
      <c r="D6" s="1" t="s">
        <v>5</v>
      </c>
      <c r="E6" s="1">
        <v>200</v>
      </c>
      <c r="H6" s="1">
        <v>3</v>
      </c>
      <c r="I6" s="1">
        <v>105</v>
      </c>
      <c r="J6" s="1">
        <v>4</v>
      </c>
      <c r="K6" s="2">
        <f>SUM(Table281114[[#This Row],[Quantity]]*Table1710[[#This Row],[Price]])</f>
        <v>800</v>
      </c>
    </row>
    <row r="7" spans="1:11" ht="17.25" customHeight="1" x14ac:dyDescent="0.25">
      <c r="C7" s="1">
        <v>104</v>
      </c>
      <c r="D7" s="1" t="s">
        <v>6</v>
      </c>
      <c r="E7" s="1">
        <v>90</v>
      </c>
      <c r="H7" s="1">
        <v>4</v>
      </c>
      <c r="I7" s="1">
        <v>106</v>
      </c>
      <c r="J7" s="1">
        <v>3</v>
      </c>
      <c r="K7" s="2">
        <f>SUM(Table281114[[#This Row],[Quantity]]*Table1710[[#This Row],[Price]])</f>
        <v>270</v>
      </c>
    </row>
    <row r="8" spans="1:11" ht="17.25" customHeight="1" x14ac:dyDescent="0.25">
      <c r="C8" s="1">
        <v>105</v>
      </c>
      <c r="D8" s="1" t="s">
        <v>7</v>
      </c>
      <c r="E8" s="1">
        <v>220</v>
      </c>
      <c r="H8" s="1">
        <v>5</v>
      </c>
      <c r="I8" s="1">
        <v>102</v>
      </c>
      <c r="J8" s="1">
        <v>5</v>
      </c>
      <c r="K8" s="2">
        <f>SUM(Table281114[[#This Row],[Quantity]]*Table1710[[#This Row],[Price]])</f>
        <v>1100</v>
      </c>
    </row>
    <row r="9" spans="1:11" ht="17.25" customHeight="1" x14ac:dyDescent="0.25">
      <c r="C9" s="1">
        <v>106</v>
      </c>
      <c r="D9" s="1" t="s">
        <v>8</v>
      </c>
      <c r="E9" s="1">
        <v>130</v>
      </c>
      <c r="H9" s="1">
        <v>6</v>
      </c>
      <c r="I9" s="1">
        <v>104</v>
      </c>
      <c r="J9" s="1">
        <v>6</v>
      </c>
      <c r="K9" s="2">
        <f>SUM(Table281114[[#This Row],[Quantity]]*Table1710[[#This Row],[Price]])</f>
        <v>780</v>
      </c>
    </row>
    <row r="13" spans="1:11" ht="17.25" customHeight="1" x14ac:dyDescent="0.25">
      <c r="D13" t="s">
        <v>24</v>
      </c>
      <c r="E13" t="s">
        <v>27</v>
      </c>
    </row>
    <row r="14" spans="1:11" ht="17.25" customHeight="1" x14ac:dyDescent="0.25">
      <c r="D14" s="8">
        <v>101</v>
      </c>
      <c r="E14" t="str">
        <f>IF(ISNA(VLOOKUP(I4,$H$4:$K$9,1,FALSE)),("EXISTS"),("NOT EXIST"))</f>
        <v>EXISTS</v>
      </c>
    </row>
    <row r="15" spans="1:11" ht="17.25" customHeight="1" x14ac:dyDescent="0.25">
      <c r="D15" s="9">
        <v>103</v>
      </c>
      <c r="E15" t="str">
        <f t="shared" ref="E15:E19" si="0">IF(ISNA(VLOOKUP(I5,$H$4:$K$9,1,FALSE)),("EXISTS"),("NOT EXIST"))</f>
        <v>EXISTS</v>
      </c>
    </row>
    <row r="16" spans="1:11" ht="17.25" customHeight="1" x14ac:dyDescent="0.25">
      <c r="D16" s="8">
        <v>105</v>
      </c>
      <c r="E16" t="str">
        <f t="shared" si="0"/>
        <v>EXISTS</v>
      </c>
    </row>
    <row r="17" spans="4:5" ht="17.25" customHeight="1" x14ac:dyDescent="0.25">
      <c r="D17" s="9">
        <v>106</v>
      </c>
      <c r="E17" t="str">
        <f t="shared" si="0"/>
        <v>EXISTS</v>
      </c>
    </row>
    <row r="18" spans="4:5" ht="17.25" customHeight="1" x14ac:dyDescent="0.25">
      <c r="D18" s="8">
        <v>102</v>
      </c>
      <c r="E18" t="str">
        <f t="shared" si="0"/>
        <v>EXISTS</v>
      </c>
    </row>
    <row r="19" spans="4:5" ht="17.25" customHeight="1" x14ac:dyDescent="0.25">
      <c r="D19" s="10">
        <v>104</v>
      </c>
      <c r="E19" t="str">
        <f t="shared" si="0"/>
        <v>EXISTS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24B1-CFBA-40D1-8FBE-918F97B91831}">
  <dimension ref="A1:K19"/>
  <sheetViews>
    <sheetView workbookViewId="0">
      <selection activeCell="G13" sqref="G13"/>
    </sheetView>
  </sheetViews>
  <sheetFormatPr defaultColWidth="13.5703125" defaultRowHeight="15.75" customHeight="1" x14ac:dyDescent="0.25"/>
  <cols>
    <col min="5" max="5" width="15" customWidth="1"/>
    <col min="6" max="6" width="18" customWidth="1"/>
  </cols>
  <sheetData>
    <row r="1" spans="1:11" ht="15.75" customHeight="1" x14ac:dyDescent="0.25">
      <c r="A1" t="s">
        <v>28</v>
      </c>
    </row>
    <row r="4" spans="1:11" ht="15.75" customHeight="1" x14ac:dyDescent="0.25">
      <c r="C4" s="2" t="s">
        <v>0</v>
      </c>
      <c r="D4" s="2" t="s">
        <v>1</v>
      </c>
      <c r="E4" s="2" t="s">
        <v>2</v>
      </c>
      <c r="H4" s="2" t="s">
        <v>9</v>
      </c>
      <c r="I4" s="2" t="s">
        <v>0</v>
      </c>
      <c r="J4" s="2" t="s">
        <v>10</v>
      </c>
      <c r="K4" s="2" t="s">
        <v>11</v>
      </c>
    </row>
    <row r="5" spans="1:11" ht="15.75" customHeight="1" x14ac:dyDescent="0.25">
      <c r="C5" s="1">
        <v>101</v>
      </c>
      <c r="D5" s="1" t="s">
        <v>3</v>
      </c>
      <c r="E5" s="1">
        <v>120</v>
      </c>
      <c r="H5" s="1">
        <v>1</v>
      </c>
      <c r="I5" s="1">
        <v>101</v>
      </c>
      <c r="J5" s="1">
        <v>2</v>
      </c>
      <c r="K5" s="2">
        <f>SUM(Table28111417[[#This Row],[Quantity]]*Table17101316[[#This Row],[Price]])</f>
        <v>240</v>
      </c>
    </row>
    <row r="6" spans="1:11" ht="15.75" customHeight="1" x14ac:dyDescent="0.25">
      <c r="C6" s="1">
        <v>102</v>
      </c>
      <c r="D6" s="1" t="s">
        <v>4</v>
      </c>
      <c r="E6" s="1">
        <v>150</v>
      </c>
      <c r="H6" s="1">
        <v>2</v>
      </c>
      <c r="I6" s="1">
        <v>103</v>
      </c>
      <c r="J6" s="1">
        <v>1</v>
      </c>
      <c r="K6" s="2">
        <f>SUM(Table28111417[[#This Row],[Quantity]]*Table17101316[[#This Row],[Price]])</f>
        <v>150</v>
      </c>
    </row>
    <row r="7" spans="1:11" ht="15.75" customHeight="1" x14ac:dyDescent="0.25">
      <c r="C7" s="1">
        <v>103</v>
      </c>
      <c r="D7" s="1" t="s">
        <v>5</v>
      </c>
      <c r="E7" s="1">
        <v>200</v>
      </c>
      <c r="H7" s="1">
        <v>3</v>
      </c>
      <c r="I7" s="1">
        <v>105</v>
      </c>
      <c r="J7" s="1">
        <v>4</v>
      </c>
      <c r="K7" s="2">
        <f>SUM(Table28111417[[#This Row],[Quantity]]*Table17101316[[#This Row],[Price]])</f>
        <v>800</v>
      </c>
    </row>
    <row r="8" spans="1:11" ht="15.75" customHeight="1" x14ac:dyDescent="0.25">
      <c r="C8" s="1">
        <v>104</v>
      </c>
      <c r="D8" s="1" t="s">
        <v>6</v>
      </c>
      <c r="E8" s="1">
        <v>90</v>
      </c>
      <c r="H8" s="1">
        <v>4</v>
      </c>
      <c r="I8" s="1">
        <v>106</v>
      </c>
      <c r="J8" s="1">
        <v>3</v>
      </c>
      <c r="K8" s="2">
        <f>SUM(Table28111417[[#This Row],[Quantity]]*Table17101316[[#This Row],[Price]])</f>
        <v>270</v>
      </c>
    </row>
    <row r="9" spans="1:11" ht="15.75" customHeight="1" x14ac:dyDescent="0.25">
      <c r="C9" s="1">
        <v>105</v>
      </c>
      <c r="D9" s="1" t="s">
        <v>7</v>
      </c>
      <c r="E9" s="1">
        <v>220</v>
      </c>
      <c r="H9" s="1">
        <v>5</v>
      </c>
      <c r="I9" s="1">
        <v>102</v>
      </c>
      <c r="J9" s="1">
        <v>5</v>
      </c>
      <c r="K9" s="2">
        <f>SUM(Table28111417[[#This Row],[Quantity]]*Table17101316[[#This Row],[Price]])</f>
        <v>1100</v>
      </c>
    </row>
    <row r="10" spans="1:11" ht="15.75" customHeight="1" x14ac:dyDescent="0.25">
      <c r="C10" s="1">
        <v>106</v>
      </c>
      <c r="D10" s="1" t="s">
        <v>8</v>
      </c>
      <c r="E10" s="1">
        <v>130</v>
      </c>
      <c r="H10" s="1">
        <v>6</v>
      </c>
      <c r="I10" s="1">
        <v>104</v>
      </c>
      <c r="J10" s="1">
        <v>6</v>
      </c>
      <c r="K10" s="2">
        <f>SUM(Table28111417[[#This Row],[Quantity]]*Table17101316[[#This Row],[Price]])</f>
        <v>780</v>
      </c>
    </row>
    <row r="13" spans="1:11" ht="15.75" customHeight="1" x14ac:dyDescent="0.25">
      <c r="E13" s="3" t="s">
        <v>29</v>
      </c>
      <c r="F13" s="3" t="s">
        <v>30</v>
      </c>
    </row>
    <row r="14" spans="1:11" ht="15.75" customHeight="1" x14ac:dyDescent="0.25">
      <c r="E14" s="3">
        <f>VLOOKUP(C5,$C$5:$E$10,3,FALSE)</f>
        <v>120</v>
      </c>
      <c r="F14" s="11">
        <f>E14*(1-0.1)</f>
        <v>108</v>
      </c>
    </row>
    <row r="15" spans="1:11" ht="15.75" customHeight="1" x14ac:dyDescent="0.25">
      <c r="E15" s="3">
        <f t="shared" ref="E15:E19" si="0">VLOOKUP(C6,$C$5:$E$10,3,FALSE)</f>
        <v>150</v>
      </c>
      <c r="F15" s="11">
        <f t="shared" ref="F15:F19" si="1">E15*(1-0.1)</f>
        <v>135</v>
      </c>
    </row>
    <row r="16" spans="1:11" ht="15.75" customHeight="1" x14ac:dyDescent="0.25">
      <c r="E16" s="3">
        <f t="shared" si="0"/>
        <v>200</v>
      </c>
      <c r="F16" s="11">
        <f t="shared" si="1"/>
        <v>180</v>
      </c>
    </row>
    <row r="17" spans="5:6" ht="15.75" customHeight="1" x14ac:dyDescent="0.25">
      <c r="E17" s="3">
        <f t="shared" si="0"/>
        <v>90</v>
      </c>
      <c r="F17" s="11">
        <f t="shared" si="1"/>
        <v>81</v>
      </c>
    </row>
    <row r="18" spans="5:6" ht="15.75" customHeight="1" x14ac:dyDescent="0.25">
      <c r="E18" s="3">
        <f t="shared" si="0"/>
        <v>220</v>
      </c>
      <c r="F18" s="11">
        <f t="shared" si="1"/>
        <v>198</v>
      </c>
    </row>
    <row r="19" spans="5:6" ht="15.75" customHeight="1" x14ac:dyDescent="0.25">
      <c r="E19" s="3">
        <f t="shared" si="0"/>
        <v>130</v>
      </c>
      <c r="F19" s="11">
        <f t="shared" si="1"/>
        <v>117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4414-7948-4B71-BCAB-168F55FF5D60}">
  <dimension ref="A1:K18"/>
  <sheetViews>
    <sheetView workbookViewId="0">
      <selection activeCell="G18" sqref="G18"/>
    </sheetView>
  </sheetViews>
  <sheetFormatPr defaultColWidth="11.85546875" defaultRowHeight="15.75" customHeight="1" x14ac:dyDescent="0.25"/>
  <cols>
    <col min="4" max="4" width="12.28515625" customWidth="1"/>
    <col min="7" max="7" width="15.140625" customWidth="1"/>
  </cols>
  <sheetData>
    <row r="1" spans="1:11" ht="15.75" customHeight="1" x14ac:dyDescent="0.25">
      <c r="A1" t="s">
        <v>31</v>
      </c>
    </row>
    <row r="4" spans="1:11" ht="15.75" customHeight="1" x14ac:dyDescent="0.25">
      <c r="C4" s="2" t="s">
        <v>0</v>
      </c>
      <c r="D4" s="2" t="s">
        <v>1</v>
      </c>
      <c r="E4" s="2" t="s">
        <v>2</v>
      </c>
      <c r="H4" s="2" t="s">
        <v>9</v>
      </c>
      <c r="I4" s="2" t="s">
        <v>0</v>
      </c>
      <c r="J4" s="2" t="s">
        <v>10</v>
      </c>
      <c r="K4" s="2" t="s">
        <v>11</v>
      </c>
    </row>
    <row r="5" spans="1:11" ht="15.75" customHeight="1" x14ac:dyDescent="0.25">
      <c r="C5" s="1">
        <v>101</v>
      </c>
      <c r="D5" s="1" t="s">
        <v>3</v>
      </c>
      <c r="E5" s="1">
        <v>120</v>
      </c>
      <c r="H5" s="1">
        <v>1</v>
      </c>
      <c r="I5" s="1">
        <v>101</v>
      </c>
      <c r="J5" s="1">
        <v>2</v>
      </c>
      <c r="K5" s="2">
        <f>SUM(Table2811141720[[#This Row],[Quantity]]*Table17101316[[#This Row],[Price]])</f>
        <v>240</v>
      </c>
    </row>
    <row r="6" spans="1:11" ht="15.75" customHeight="1" x14ac:dyDescent="0.25">
      <c r="C6" s="1">
        <v>102</v>
      </c>
      <c r="D6" s="1" t="s">
        <v>4</v>
      </c>
      <c r="E6" s="1">
        <v>150</v>
      </c>
      <c r="H6" s="1">
        <v>2</v>
      </c>
      <c r="I6" s="1">
        <v>103</v>
      </c>
      <c r="J6" s="1">
        <v>1</v>
      </c>
      <c r="K6" s="2">
        <f>SUM(Table2811141720[[#This Row],[Quantity]]*Table17101316[[#This Row],[Price]])</f>
        <v>150</v>
      </c>
    </row>
    <row r="7" spans="1:11" ht="15.75" customHeight="1" x14ac:dyDescent="0.25">
      <c r="C7" s="1">
        <v>103</v>
      </c>
      <c r="D7" s="1" t="s">
        <v>5</v>
      </c>
      <c r="E7" s="1">
        <v>200</v>
      </c>
      <c r="H7" s="1">
        <v>3</v>
      </c>
      <c r="I7" s="1">
        <v>105</v>
      </c>
      <c r="J7" s="1">
        <v>4</v>
      </c>
      <c r="K7" s="2">
        <f>SUM(Table2811141720[[#This Row],[Quantity]]*Table17101316[[#This Row],[Price]])</f>
        <v>800</v>
      </c>
    </row>
    <row r="8" spans="1:11" ht="15.75" customHeight="1" x14ac:dyDescent="0.25">
      <c r="C8" s="1">
        <v>104</v>
      </c>
      <c r="D8" s="1" t="s">
        <v>6</v>
      </c>
      <c r="E8" s="1">
        <v>90</v>
      </c>
      <c r="H8" s="1">
        <v>4</v>
      </c>
      <c r="I8" s="1">
        <v>106</v>
      </c>
      <c r="J8" s="1">
        <v>3</v>
      </c>
      <c r="K8" s="2">
        <f>SUM(Table2811141720[[#This Row],[Quantity]]*Table17101316[[#This Row],[Price]])</f>
        <v>270</v>
      </c>
    </row>
    <row r="9" spans="1:11" ht="15.75" customHeight="1" x14ac:dyDescent="0.25">
      <c r="C9" s="1">
        <v>105</v>
      </c>
      <c r="D9" s="1" t="s">
        <v>7</v>
      </c>
      <c r="E9" s="1">
        <v>220</v>
      </c>
      <c r="H9" s="1">
        <v>5</v>
      </c>
      <c r="I9" s="1">
        <v>102</v>
      </c>
      <c r="J9" s="1">
        <v>5</v>
      </c>
      <c r="K9" s="2">
        <f>SUM(Table2811141720[[#This Row],[Quantity]]*Table17101316[[#This Row],[Price]])</f>
        <v>1100</v>
      </c>
    </row>
    <row r="10" spans="1:11" ht="15.75" customHeight="1" x14ac:dyDescent="0.25">
      <c r="C10" s="1">
        <v>106</v>
      </c>
      <c r="D10" s="1" t="s">
        <v>8</v>
      </c>
      <c r="E10" s="1">
        <v>130</v>
      </c>
      <c r="H10" s="1">
        <v>6</v>
      </c>
      <c r="I10" s="1">
        <v>104</v>
      </c>
      <c r="J10" s="1">
        <v>6</v>
      </c>
      <c r="K10" s="2">
        <f>SUM(Table2811141720[[#This Row],[Quantity]]*Table17101316[[#This Row],[Price]])</f>
        <v>780</v>
      </c>
    </row>
    <row r="13" spans="1:11" ht="15.75" customHeight="1" x14ac:dyDescent="0.25">
      <c r="D13" s="3" t="s">
        <v>24</v>
      </c>
      <c r="E13" s="3" t="s">
        <v>2</v>
      </c>
      <c r="G13" s="12" t="s">
        <v>32</v>
      </c>
      <c r="H13" s="13">
        <f>MAX(K5:K10)</f>
        <v>1100</v>
      </c>
    </row>
    <row r="14" spans="1:11" ht="15.75" customHeight="1" x14ac:dyDescent="0.25">
      <c r="D14" s="3">
        <v>101</v>
      </c>
      <c r="E14" s="3">
        <f>VLOOKUP(C5,$C$5:$E$10,3,FALSE)</f>
        <v>120</v>
      </c>
    </row>
    <row r="15" spans="1:11" ht="15.75" customHeight="1" x14ac:dyDescent="0.25">
      <c r="D15" s="3">
        <v>102</v>
      </c>
      <c r="E15" s="3">
        <f t="shared" ref="E15:E18" si="0">VLOOKUP(C6,$C$5:$E$10,3,FALSE)</f>
        <v>150</v>
      </c>
    </row>
    <row r="16" spans="1:11" ht="15.75" customHeight="1" x14ac:dyDescent="0.25">
      <c r="D16" s="3">
        <v>103</v>
      </c>
      <c r="E16" s="3">
        <f t="shared" si="0"/>
        <v>200</v>
      </c>
    </row>
    <row r="17" spans="4:5" ht="15.75" customHeight="1" x14ac:dyDescent="0.25">
      <c r="D17" s="3">
        <v>104</v>
      </c>
      <c r="E17" s="3">
        <f t="shared" si="0"/>
        <v>90</v>
      </c>
    </row>
    <row r="18" spans="4:5" ht="15.75" customHeight="1" x14ac:dyDescent="0.25">
      <c r="D18" s="3">
        <v>105</v>
      </c>
      <c r="E18" s="3">
        <f t="shared" si="0"/>
        <v>220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3BA1-8D49-47DD-8826-1AB074F88714}">
  <dimension ref="A1:K17"/>
  <sheetViews>
    <sheetView workbookViewId="0">
      <selection activeCell="F18" sqref="F18"/>
    </sheetView>
  </sheetViews>
  <sheetFormatPr defaultColWidth="12.140625" defaultRowHeight="16.5" customHeight="1" x14ac:dyDescent="0.25"/>
  <cols>
    <col min="4" max="4" width="12.28515625" customWidth="1"/>
    <col min="5" max="5" width="19.140625" customWidth="1"/>
  </cols>
  <sheetData>
    <row r="1" spans="1:11" ht="16.5" customHeight="1" x14ac:dyDescent="0.25">
      <c r="A1" t="s">
        <v>33</v>
      </c>
    </row>
    <row r="3" spans="1:11" ht="16.5" customHeight="1" x14ac:dyDescent="0.25">
      <c r="C3" s="2" t="s">
        <v>0</v>
      </c>
      <c r="D3" s="2" t="s">
        <v>1</v>
      </c>
      <c r="E3" s="2" t="s">
        <v>2</v>
      </c>
      <c r="H3" s="2" t="s">
        <v>9</v>
      </c>
      <c r="I3" s="2" t="s">
        <v>0</v>
      </c>
      <c r="J3" s="2" t="s">
        <v>10</v>
      </c>
      <c r="K3" s="2" t="s">
        <v>11</v>
      </c>
    </row>
    <row r="4" spans="1:11" ht="16.5" customHeight="1" x14ac:dyDescent="0.25">
      <c r="C4" s="1">
        <v>101</v>
      </c>
      <c r="D4" s="1" t="s">
        <v>3</v>
      </c>
      <c r="E4" s="1">
        <v>120</v>
      </c>
      <c r="H4" s="1">
        <v>1</v>
      </c>
      <c r="I4" s="1">
        <v>101</v>
      </c>
      <c r="J4" s="1">
        <v>2</v>
      </c>
      <c r="K4" s="2">
        <f>SUM(Table281114172024[[#This Row],[Quantity]]*Table171013161923[[#This Row],[Price]])</f>
        <v>240</v>
      </c>
    </row>
    <row r="5" spans="1:11" ht="16.5" customHeight="1" x14ac:dyDescent="0.25">
      <c r="C5" s="1">
        <v>102</v>
      </c>
      <c r="D5" s="1" t="s">
        <v>4</v>
      </c>
      <c r="E5" s="1">
        <v>150</v>
      </c>
      <c r="H5" s="1">
        <v>2</v>
      </c>
      <c r="I5" s="1">
        <v>103</v>
      </c>
      <c r="J5" s="1">
        <v>1</v>
      </c>
      <c r="K5" s="2">
        <f>SUM(Table281114172024[[#This Row],[Quantity]]*Table171013161923[[#This Row],[Price]])</f>
        <v>150</v>
      </c>
    </row>
    <row r="6" spans="1:11" ht="16.5" customHeight="1" x14ac:dyDescent="0.25">
      <c r="C6" s="1">
        <v>103</v>
      </c>
      <c r="D6" s="1" t="s">
        <v>5</v>
      </c>
      <c r="E6" s="1">
        <v>200</v>
      </c>
      <c r="H6" s="1">
        <v>3</v>
      </c>
      <c r="I6" s="1">
        <v>105</v>
      </c>
      <c r="J6" s="1">
        <v>4</v>
      </c>
      <c r="K6" s="2">
        <f>SUM(Table281114172024[[#This Row],[Quantity]]*Table171013161923[[#This Row],[Price]])</f>
        <v>800</v>
      </c>
    </row>
    <row r="7" spans="1:11" ht="16.5" customHeight="1" x14ac:dyDescent="0.25">
      <c r="C7" s="1">
        <v>104</v>
      </c>
      <c r="D7" s="1" t="s">
        <v>6</v>
      </c>
      <c r="E7" s="1">
        <v>90</v>
      </c>
      <c r="H7" s="1">
        <v>4</v>
      </c>
      <c r="I7" s="1">
        <v>106</v>
      </c>
      <c r="J7" s="1">
        <v>3</v>
      </c>
      <c r="K7" s="2">
        <f>SUM(Table281114172024[[#This Row],[Quantity]]*Table171013161923[[#This Row],[Price]])</f>
        <v>270</v>
      </c>
    </row>
    <row r="8" spans="1:11" ht="16.5" customHeight="1" x14ac:dyDescent="0.25">
      <c r="C8" s="1">
        <v>105</v>
      </c>
      <c r="D8" s="1" t="s">
        <v>7</v>
      </c>
      <c r="E8" s="1">
        <v>220</v>
      </c>
      <c r="H8" s="1">
        <v>5</v>
      </c>
      <c r="I8" s="1">
        <v>102</v>
      </c>
      <c r="J8" s="1">
        <v>5</v>
      </c>
      <c r="K8" s="2">
        <f>SUM(Table281114172024[[#This Row],[Quantity]]*Table171013161923[[#This Row],[Price]])</f>
        <v>1100</v>
      </c>
    </row>
    <row r="9" spans="1:11" ht="16.5" customHeight="1" x14ac:dyDescent="0.25">
      <c r="C9" s="1">
        <v>106</v>
      </c>
      <c r="D9" s="1" t="s">
        <v>8</v>
      </c>
      <c r="E9" s="1">
        <v>130</v>
      </c>
      <c r="H9" s="1">
        <v>6</v>
      </c>
      <c r="I9" s="1">
        <v>104</v>
      </c>
      <c r="J9" s="1">
        <v>6</v>
      </c>
      <c r="K9" s="2">
        <f>SUM(Table281114172024[[#This Row],[Quantity]]*Table171013161923[[#This Row],[Price]])</f>
        <v>780</v>
      </c>
    </row>
    <row r="12" spans="1:11" ht="16.5" customHeight="1" x14ac:dyDescent="0.25">
      <c r="D12" s="3" t="s">
        <v>24</v>
      </c>
      <c r="E12" s="3" t="s">
        <v>34</v>
      </c>
    </row>
    <row r="13" spans="1:11" ht="16.5" customHeight="1" x14ac:dyDescent="0.25">
      <c r="D13" s="3">
        <v>101</v>
      </c>
      <c r="E13" s="3" t="str">
        <f>IF(COUNTIF($H$4:$K$9,K4)=0,"Ordered","Not Ordered")</f>
        <v>Not Ordered</v>
      </c>
    </row>
    <row r="14" spans="1:11" ht="16.5" customHeight="1" x14ac:dyDescent="0.25">
      <c r="D14" s="3">
        <v>102</v>
      </c>
      <c r="E14" s="3" t="str">
        <f t="shared" ref="E14:E17" si="0">IF(COUNTIF($H$4:$K$9,K5)=0,"Ordered","Not Ordered")</f>
        <v>Not Ordered</v>
      </c>
    </row>
    <row r="15" spans="1:11" ht="16.5" customHeight="1" x14ac:dyDescent="0.25">
      <c r="D15" s="3">
        <v>103</v>
      </c>
      <c r="E15" s="3" t="str">
        <f t="shared" si="0"/>
        <v>Not Ordered</v>
      </c>
    </row>
    <row r="16" spans="1:11" ht="16.5" customHeight="1" x14ac:dyDescent="0.25">
      <c r="D16" s="3">
        <v>104</v>
      </c>
      <c r="E16" s="3" t="str">
        <f t="shared" si="0"/>
        <v>Not Ordered</v>
      </c>
    </row>
    <row r="17" spans="4:5" ht="16.5" customHeight="1" x14ac:dyDescent="0.25">
      <c r="D17" s="3">
        <v>105</v>
      </c>
      <c r="E17" s="3" t="str">
        <f t="shared" si="0"/>
        <v>Not Ordered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9EF6-F650-4FA0-B885-A7CC4E1769A4}">
  <dimension ref="A1:K19"/>
  <sheetViews>
    <sheetView workbookViewId="0">
      <selection activeCell="C12" sqref="C12"/>
    </sheetView>
  </sheetViews>
  <sheetFormatPr defaultColWidth="15" defaultRowHeight="17.25" customHeight="1" x14ac:dyDescent="0.25"/>
  <cols>
    <col min="5" max="6" width="15.7109375" customWidth="1"/>
  </cols>
  <sheetData>
    <row r="1" spans="1:11" ht="17.25" customHeight="1" x14ac:dyDescent="0.25">
      <c r="A1" t="s">
        <v>35</v>
      </c>
    </row>
    <row r="4" spans="1:11" ht="17.25" customHeight="1" x14ac:dyDescent="0.25">
      <c r="C4" s="2" t="s">
        <v>0</v>
      </c>
      <c r="D4" s="2" t="s">
        <v>1</v>
      </c>
      <c r="E4" s="2" t="s">
        <v>2</v>
      </c>
      <c r="H4" s="2" t="s">
        <v>9</v>
      </c>
      <c r="I4" s="2" t="s">
        <v>0</v>
      </c>
      <c r="J4" s="2" t="s">
        <v>10</v>
      </c>
      <c r="K4" s="2" t="s">
        <v>11</v>
      </c>
    </row>
    <row r="5" spans="1:11" ht="17.25" customHeight="1" x14ac:dyDescent="0.25">
      <c r="C5" s="1">
        <v>101</v>
      </c>
      <c r="D5" s="1" t="s">
        <v>3</v>
      </c>
      <c r="E5" s="1">
        <v>120</v>
      </c>
      <c r="H5" s="1">
        <v>1</v>
      </c>
      <c r="I5" s="1">
        <v>101</v>
      </c>
      <c r="J5" s="1">
        <v>2</v>
      </c>
      <c r="K5" s="2">
        <f>SUM(Table28111417202427[[#This Row],[Quantity]]*Table171013161926[[#This Row],[Price]])</f>
        <v>240</v>
      </c>
    </row>
    <row r="6" spans="1:11" ht="17.25" customHeight="1" x14ac:dyDescent="0.25">
      <c r="C6" s="1">
        <v>102</v>
      </c>
      <c r="D6" s="1" t="s">
        <v>4</v>
      </c>
      <c r="E6" s="1">
        <v>150</v>
      </c>
      <c r="H6" s="1">
        <v>5</v>
      </c>
      <c r="I6" s="1">
        <v>102</v>
      </c>
      <c r="J6" s="1">
        <v>5</v>
      </c>
      <c r="K6" s="2">
        <f>SUM(Table28111417202427[[#This Row],[Quantity]]*Table171013161926[[#This Row],[Price]])</f>
        <v>750</v>
      </c>
    </row>
    <row r="7" spans="1:11" ht="17.25" customHeight="1" x14ac:dyDescent="0.25">
      <c r="C7" s="1">
        <v>103</v>
      </c>
      <c r="D7" s="1" t="s">
        <v>5</v>
      </c>
      <c r="E7" s="1">
        <v>200</v>
      </c>
      <c r="H7" s="1">
        <v>2</v>
      </c>
      <c r="I7" s="1">
        <v>103</v>
      </c>
      <c r="J7" s="1">
        <v>1</v>
      </c>
      <c r="K7" s="2">
        <f>SUM(Table28111417202427[[#This Row],[Quantity]]*Table171013161926[[#This Row],[Price]])</f>
        <v>200</v>
      </c>
    </row>
    <row r="8" spans="1:11" ht="17.25" customHeight="1" x14ac:dyDescent="0.25">
      <c r="C8" s="1">
        <v>104</v>
      </c>
      <c r="D8" s="1" t="s">
        <v>6</v>
      </c>
      <c r="E8" s="1">
        <v>90</v>
      </c>
      <c r="H8" s="1">
        <v>6</v>
      </c>
      <c r="I8" s="1">
        <v>104</v>
      </c>
      <c r="J8" s="1">
        <v>6</v>
      </c>
      <c r="K8" s="2">
        <f>SUM(Table28111417202427[[#This Row],[Quantity]]*Table171013161926[[#This Row],[Price]])</f>
        <v>540</v>
      </c>
    </row>
    <row r="9" spans="1:11" ht="17.25" customHeight="1" x14ac:dyDescent="0.25">
      <c r="C9" s="1">
        <v>105</v>
      </c>
      <c r="D9" s="1" t="s">
        <v>7</v>
      </c>
      <c r="E9" s="1">
        <v>220</v>
      </c>
      <c r="H9" s="1">
        <v>3</v>
      </c>
      <c r="I9" s="1">
        <v>105</v>
      </c>
      <c r="J9" s="1">
        <v>4</v>
      </c>
      <c r="K9" s="2">
        <f>SUM(Table28111417202427[[#This Row],[Quantity]]*Table171013161926[[#This Row],[Price]])</f>
        <v>880</v>
      </c>
    </row>
    <row r="10" spans="1:11" ht="17.25" customHeight="1" x14ac:dyDescent="0.25">
      <c r="C10" s="1">
        <v>106</v>
      </c>
      <c r="D10" s="1" t="s">
        <v>8</v>
      </c>
      <c r="E10" s="1">
        <v>130</v>
      </c>
      <c r="H10" s="1">
        <v>4</v>
      </c>
      <c r="I10" s="1">
        <v>106</v>
      </c>
      <c r="J10" s="1">
        <v>3</v>
      </c>
      <c r="K10" s="2">
        <f>SUM(Table28111417202427[[#This Row],[Quantity]]*Table171013161926[[#This Row],[Price]])</f>
        <v>390</v>
      </c>
    </row>
    <row r="13" spans="1:11" ht="17.25" customHeight="1" x14ac:dyDescent="0.25">
      <c r="E13" s="3" t="s">
        <v>36</v>
      </c>
      <c r="F13" s="3" t="s">
        <v>37</v>
      </c>
    </row>
    <row r="14" spans="1:11" ht="17.25" customHeight="1" x14ac:dyDescent="0.25">
      <c r="E14" s="3" t="str">
        <f>VLOOKUP(C5,$C$5:$E$10,2,FALSE)</f>
        <v>Product A</v>
      </c>
      <c r="F14" s="3">
        <f>SUMIF($C$5:$C$10,C5,($J$5:$J$10))</f>
        <v>2</v>
      </c>
    </row>
    <row r="15" spans="1:11" ht="17.25" customHeight="1" x14ac:dyDescent="0.25">
      <c r="E15" s="3" t="str">
        <f t="shared" ref="E15:E19" si="0">VLOOKUP(C6,$C$5:$E$10,2,FALSE)</f>
        <v>Product B</v>
      </c>
      <c r="F15" s="3">
        <f t="shared" ref="F15:F19" si="1">SUMIF($C$5:$C$10,C6,($J$5:$J$10))</f>
        <v>5</v>
      </c>
    </row>
    <row r="16" spans="1:11" ht="17.25" customHeight="1" x14ac:dyDescent="0.25">
      <c r="E16" s="3" t="str">
        <f t="shared" si="0"/>
        <v>Product C</v>
      </c>
      <c r="F16" s="3">
        <f t="shared" si="1"/>
        <v>1</v>
      </c>
    </row>
    <row r="17" spans="5:6" ht="17.25" customHeight="1" x14ac:dyDescent="0.25">
      <c r="E17" s="3" t="str">
        <f t="shared" si="0"/>
        <v>Product D</v>
      </c>
      <c r="F17" s="3">
        <f t="shared" si="1"/>
        <v>6</v>
      </c>
    </row>
    <row r="18" spans="5:6" ht="17.25" customHeight="1" x14ac:dyDescent="0.25">
      <c r="E18" s="3" t="str">
        <f t="shared" si="0"/>
        <v>Product E</v>
      </c>
      <c r="F18" s="3">
        <f t="shared" si="1"/>
        <v>4</v>
      </c>
    </row>
    <row r="19" spans="5:6" ht="17.25" customHeight="1" x14ac:dyDescent="0.25">
      <c r="E19" s="3" t="str">
        <f t="shared" si="0"/>
        <v>Product F</v>
      </c>
      <c r="F19" s="3">
        <f t="shared" si="1"/>
        <v>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Questions</vt:lpstr>
      <vt:lpstr>Q1</vt:lpstr>
      <vt:lpstr>Q2</vt:lpstr>
      <vt:lpstr>Q3</vt:lpstr>
      <vt:lpstr>Q4</vt:lpstr>
      <vt:lpstr>Q5</vt:lpstr>
      <vt:lpstr>Q6</vt:lpstr>
      <vt:lpstr>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 Mane</dc:creator>
  <cp:lastModifiedBy>Kalyani Mane</cp:lastModifiedBy>
  <dcterms:created xsi:type="dcterms:W3CDTF">2024-09-29T12:38:07Z</dcterms:created>
  <dcterms:modified xsi:type="dcterms:W3CDTF">2024-09-29T15:35:57Z</dcterms:modified>
</cp:coreProperties>
</file>